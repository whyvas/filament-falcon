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OM" sheetId="1" state="visible" r:id="rId3"/>
    <sheet name="Summary" sheetId="2" state="visible" r:id="rId4"/>
    <sheet name="Amazon cart" sheetId="3" state="visible" r:id="rId5"/>
    <sheet name="Notes" sheetId="4" state="visible" r:id="rId6"/>
  </sheets>
  <definedNames>
    <definedName function="false" hidden="true" localSheetId="0" name="_xlnm._FilterDatabase" vbProcedure="false">BOM!$A$1:$O$110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<sst xmlns="http://schemas.openxmlformats.org/spreadsheetml/2006/main" count="981" uniqueCount="569">
  <si>
    <t xml:space="preserve">Category</t>
  </si>
  <si>
    <t xml:space="preserve">Item</t>
  </si>
  <si>
    <t xml:space="preserve">Spec/notes</t>
  </si>
  <si>
    <t xml:space="preserve">Used for</t>
  </si>
  <si>
    <t xml:space="preserve">Qty needed</t>
  </si>
  <si>
    <t xml:space="preserve">Have it</t>
  </si>
  <si>
    <t xml:space="preserve">Qty to buy</t>
  </si>
  <si>
    <t xml:space="preserve">Unit price CAD</t>
  </si>
  <si>
    <t xml:space="preserve">Line total</t>
  </si>
  <si>
    <t xml:space="preserve">Store</t>
  </si>
  <si>
    <t xml:space="preserve">Link</t>
  </si>
  <si>
    <t xml:space="preserve">Search link</t>
  </si>
  <si>
    <t xml:space="preserve">Price checked date</t>
  </si>
  <si>
    <t xml:space="preserve">Price status</t>
  </si>
  <si>
    <t xml:space="preserve">Cart #</t>
  </si>
  <si>
    <t xml:space="preserve">Computer &amp; displays (owned)</t>
  </si>
  <si>
    <t xml:space="preserve">Gaming PC (Ryzen 9 5900X, RX 6800 XT 16 GB, 32 GB RAM)</t>
  </si>
  <si>
    <t xml:space="preserve">Linux Mint; RX 6800 XT: 2x DP 1.4, 1x HDMI 2.1, 1x USB-C, max 4 displays</t>
  </si>
  <si>
    <t xml:space="preserve">Runs the Godot game (3 windows)</t>
  </si>
  <si>
    <t xml:space="preserve">Owned</t>
  </si>
  <si>
    <t xml:space="preserve">Sceptre C275B-144R 27" curved monitor</t>
  </si>
  <si>
    <t xml:space="preserve">1920x1080 144 Hz, 1800R, VESA 100 M4, HDMI/DP/DVI, 3.80 kg</t>
  </si>
  <si>
    <t xml:space="preserve">PILOT window (left kid), in the pod</t>
  </si>
  <si>
    <t xml:space="preserve">Sceptre C275W-1920RN 27" curved monitor</t>
  </si>
  <si>
    <t xml:space="preserve">1920x1080 75 Hz, 1800R, VESA 75 M4, HDMI + VGA only, 3.40 kg</t>
  </si>
  <si>
    <t xml:space="preserve">OPS window (right kid), in the pod</t>
  </si>
  <si>
    <t xml:space="preserve">ViewSonic TD2220 22" touchscreen</t>
  </si>
  <si>
    <t xml:space="preserve">21.5" 1920x1080, optical 2-point touch over USB-B, VGA + DVI-D only, VESA 100</t>
  </si>
  <si>
    <t xml:space="preserve">Centre console touchscreen (in the cradle)</t>
  </si>
  <si>
    <t xml:space="preserve">HY300 mini projectors</t>
  </si>
  <si>
    <t xml:space="preserve">Only in the projector-dome feasibility study (docs/mechanical/projector_dome_study.md); not in the core build</t>
  </si>
  <si>
    <t xml:space="preserve">Optional dome / ambient projection</t>
  </si>
  <si>
    <t xml:space="preserve">3-axis joysticks with top button (X, Y, twist pots + button)</t>
  </si>
  <si>
    <t xml:space="preserve">"A couple" owned; assumed potentiometer sticks (see electronics README). Mounting pattern still to measure</t>
  </si>
  <si>
    <t xml:space="preserve">PILOT and OPS sticks</t>
  </si>
  <si>
    <t xml:space="preserve">Video &amp; USB cabling</t>
  </si>
  <si>
    <t xml:space="preserve">DisplayPort 1.4 cable, 3 m (10 ft), VESA certified</t>
  </si>
  <si>
    <t xml:space="preserve">Latching connectors; 3-5 m per displays.md - measure from the PC location | Listing: "Silkland VESA Certified DisplayPort Cable, Long DP Cable 10FT, Braided"</t>
  </si>
  <si>
    <t xml:space="preserve">GPU DP1 -&gt; C275B-144R (1080p 144 Hz)</t>
  </si>
  <si>
    <t xml:space="preserve">Amazon.ca</t>
  </si>
  <si>
    <t xml:space="preserve">https://www.amazon.ca/dp/B0BRPZHK36</t>
  </si>
  <si>
    <t xml:space="preserve">https://www.amazon.ca/s?k=displayport+1.4+cable+10+ft</t>
  </si>
  <si>
    <t xml:space="preserve">2026-10-08</t>
  </si>
  <si>
    <t xml:space="preserve">Verified amazon.ca price</t>
  </si>
  <si>
    <t xml:space="preserve">HDMI cable, 3 m (10 ft)</t>
  </si>
  <si>
    <t xml:space="preserve">High speed; C275W only has HDMI/VGA | Listing: "Amazon Basics High-Speed 4K HDMI Cable - 10 Feet"</t>
  </si>
  <si>
    <t xml:space="preserve">GPU HDMI -&gt; C275W-1920RN (1080p 75 Hz)</t>
  </si>
  <si>
    <t xml:space="preserve">https://www.amazon.ca/dp/B014I8T0YQ</t>
  </si>
  <si>
    <t xml:space="preserve">https://www.amazon.ca/s?k=hdmi+cable+10+ft</t>
  </si>
  <si>
    <t xml:space="preserve">DisplayPort -&gt; DVI-D adapter cable, passive, 3 m (10 ft)</t>
  </si>
  <si>
    <t xml:space="preserve">Single-link DVI-D, 1080p60, passive DP++ is fine. One-piece cable = no separate DVI cable needed. Alternative if you already have the TD2220 DVI cable: StarTech DP2DVI2 passive adapter https://www.amazon.ca/dp/B0035PS57C | Listing: "BENFEI DisplayPort to DVI 10 Feet Cable, Uni-Directional"</t>
  </si>
  <si>
    <t xml:space="preserve">GPU DP2 -&gt; TD2220 DVI-D in</t>
  </si>
  <si>
    <t xml:space="preserve">https://www.amazon.ca/dp/B06WD33P34</t>
  </si>
  <si>
    <t xml:space="preserve">https://www.amazon.ca/s?k=displayport+to+dvi-d+cable+10+ft</t>
  </si>
  <si>
    <t xml:space="preserve">USB-A to USB-B cable, 3 m (10 ft)</t>
  </si>
  <si>
    <t xml:space="preserve">USB 2.0; &lt;= 5 m (or use an active extension) | Listing: "AINOPE USB Printer Cable 10FT, Nylon Braided USB A to USB B MIDI Cable"</t>
  </si>
  <si>
    <t xml:space="preserve">PC -&gt; TD2220 touch (HID)</t>
  </si>
  <si>
    <t xml:space="preserve">https://www.amazon.ca/dp/B07ZRBRDHG</t>
  </si>
  <si>
    <t xml:space="preserve">https://www.amazon.ca/s?k=usb+a+to+usb+b+cable+10+ft</t>
  </si>
  <si>
    <t xml:space="preserve">USB-A to USB-C data cables 1.8 m (6 ft), 3-pack</t>
  </si>
  <si>
    <t xml:space="preserve">Must be DATA cables; plug into each board's "USB" port (not "UART") | Listing: "Cable Matters 3-Pack USB A to USB C Cable, 6ft, Black"</t>
  </si>
  <si>
    <t xml:space="preserve">3x ESP32-S3 boards -&gt; PC / hub</t>
  </si>
  <si>
    <t xml:space="preserve">https://www.amazon.ca/dp/B0CLZ9J2F5</t>
  </si>
  <si>
    <t xml:space="preserve">https://www.amazon.ca/s?k=usb+a+to+usb+c+data+cable+6+ft+3+pack</t>
  </si>
  <si>
    <t xml:space="preserve">Powered USB 3.0 hub, 7-port, with power adapter</t>
  </si>
  <si>
    <t xml:space="preserve">Electronics README: a powered USB 3 hub is fine | Listing: "TP-Link UH720, Powered USB 3.0 Hub, 7 Data + 2 Charging Ports"</t>
  </si>
  <si>
    <t xml:space="preserve">3x ESP32-S3 + TD2220 touch</t>
  </si>
  <si>
    <t xml:space="preserve">https://www.amazon.ca/dp/B00SCX6I8A</t>
  </si>
  <si>
    <t xml:space="preserve">https://www.amazon.ca/s?k=powered+usb+3.0+hub+7+port</t>
  </si>
  <si>
    <t xml:space="preserve">Expandable braided sleeve 25 mm (1"), 7.6 m (25 ft)</t>
  </si>
  <si>
    <t xml:space="preserve">BOM: 5 m of 25-30 mm sleeve | Listing: "25ft - 1 inch PET Expandable Braided Sleeving – Black – Alex Tech Braided Cable Sleeve"</t>
  </si>
  <si>
    <t xml:space="preserve">200 mm U service loops at the pod + cradle pivots</t>
  </si>
  <si>
    <t xml:space="preserve">https://www.amazon.ca/dp/B073YLYBJF</t>
  </si>
  <si>
    <t xml:space="preserve">https://www.amazon.ca/s?k=braided+cable+sleeve+1+inch+25+ft</t>
  </si>
  <si>
    <t xml:space="preserve">Controllers &amp; logic</t>
  </si>
  <si>
    <t xml:space="preserve">ESP32-S3-DevKitC-1-N8R8, 5-pack</t>
  </si>
  <si>
    <t xml:space="preserve">Must be the S3 DevKitC-1 with both "USB" + "UART" ports. 3 needed + 2 spares | Listing: "5pcs ESP32 S3 Development Board ESP32-S3-DevKitC-1-N8R8 MCU Module"</t>
  </si>
  <si>
    <t xml:space="preserve">Falcon Pilot / Ops / Command</t>
  </si>
  <si>
    <t xml:space="preserve">https://www.amazon.ca/dp/B0D93FLZLH</t>
  </si>
  <si>
    <t xml:space="preserve">https://www.amazon.ca/s?k=ESP32-S3-DevKitC-1+N8R8</t>
  </si>
  <si>
    <t xml:space="preserve">74HC165 shift register DIP-16, 25 pcs</t>
  </si>
  <si>
    <t xml:space="preserve">10 needed (3 Pilot, 3 Ops, 4 Command) + 2 spares | Listing: "SING F LTD 25Pcs DIP16 IC 8BIT Parallel-in/Serial-Out Shift Register 16 Pin Computer Through Hole De"</t>
  </si>
  <si>
    <t xml:space="preserve">Switch inputs</t>
  </si>
  <si>
    <t xml:space="preserve">https://www.amazon.ca/dp/B0D2THXFQ6</t>
  </si>
  <si>
    <t xml:space="preserve">https://www.amazon.ca/s?k=SN74HC165N+DIP-16</t>
  </si>
  <si>
    <t xml:space="preserve">DIP IC socket assortment (incl. 14- and 16-pin)</t>
  </si>
  <si>
    <t xml:space="preserve">12x DIP-16 for the 74HC165s + 1x DIP-14 for the 74AHCT125 | Listing: "Glarks 122Pcs 2.54mm Pitch DIP IC Sockets Solder Type Adaptor Assortment Kit (6 / 8 / 14 / 16 / 18 /"</t>
  </si>
  <si>
    <t xml:space="preserve">Socketed chips on the perfboards</t>
  </si>
  <si>
    <t xml:space="preserve">https://www.amazon.ca/dp/B01GOLSUAU</t>
  </si>
  <si>
    <t xml:space="preserve">https://www.amazon.ca/s?k=dip+ic+socket+assortment</t>
  </si>
  <si>
    <t xml:space="preserve">10 kOhm bussed resistor network SIP-9 (A103J), 20 pcs</t>
  </si>
  <si>
    <t xml:space="preserve">12 needed (one per 74HC165, 8 pull-ups) | Listing: "20pcs A103J 9pin 10K ohm DIP Exclusion 9 PINS Network Resistor Array"</t>
  </si>
  <si>
    <t xml:space="preserve">74HC165 input pull-ups</t>
  </si>
  <si>
    <t xml:space="preserve">https://www.amazon.ca/dp/B0D4BXJ1SX</t>
  </si>
  <si>
    <t xml:space="preserve">https://www.amazon.ca/s?k=10k+bussed+resistor+network+sip+9+A103J</t>
  </si>
  <si>
    <t xml:space="preserve">100 nF ceramic capacitors, 100 pcs</t>
  </si>
  <si>
    <t xml:space="preserve">52 needed: 20 at chips/boards + 32 at the WS2812D-F5 LEDs | Listing: "50V Ceramic Capacitor,50V 100NF(104 100pcs"</t>
  </si>
  <si>
    <t xml:space="preserve">Decoupling</t>
  </si>
  <si>
    <t xml:space="preserve">https://www.amazon.ca/dp/B09JWTW1GT</t>
  </si>
  <si>
    <t xml:space="preserve">https://www.amazon.ca/s?k=100nf+ceramic+capacitor+104+100pcs</t>
  </si>
  <si>
    <t xml:space="preserve">Electrolytic capacitor assortment 0.1-1000 uF (10-50 V)</t>
  </si>
  <si>
    <r>
      <rPr>
        <sz val="11"/>
        <color theme="1"/>
        <rFont val="Calibri"/>
        <family val="2"/>
        <charset val="1"/>
      </rPr>
      <t xml:space="preserve">Covers 5x 10 uF (boards + overhead cable end) and 1x 1000 uF 10 V+ across the LED strip input | Listing: "Swpeet 240Pcs 24 Kinds Different Electrolytic Capacitors Range 0.1uF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1000uF Assortment Kit, 10V/16V/"</t>
    </r>
  </si>
  <si>
    <t xml:space="preserve">Bulk decoupling</t>
  </si>
  <si>
    <t xml:space="preserve">https://www.amazon.ca/dp/B07KC99W2K</t>
  </si>
  <si>
    <t xml:space="preserve">https://www.amazon.ca/s?k=electrolytic+capacitor+assortment+1000uf</t>
  </si>
  <si>
    <t xml:space="preserve">74AHCT125N DIP-14 level shifter, 10 pcs</t>
  </si>
  <si>
    <t xml:space="preserve">1 needed (3.3 V -&gt; 5 V LED data) | Listing: "10PCS SN74AHCT125N 74AHCT125N 74AHCT125 DIP-14 Buffer line Driver"</t>
  </si>
  <si>
    <t xml:space="preserve">WS2812B data line from Falcon Command</t>
  </si>
  <si>
    <t xml:space="preserve">https://www.amazon.ca/dp/B0C6FNV224</t>
  </si>
  <si>
    <t xml:space="preserve">https://www.amazon.ca/s?k=74AHCT125N+DIP-14</t>
  </si>
  <si>
    <t xml:space="preserve">Resistor kit 1/4 W 1%, 50 values</t>
  </si>
  <si>
    <t xml:space="preserve">Covers 2x 330 Ohm (LED data), 2x 100 Ohm (CLK series), 6x 10 kOhm (opto pull-up, spares) | Listing: "BOJACK 50 Values 1350 Pcs Resistor Kit 0 Ohm-5.6M Ohm with 1% 1/4W Metal Film Resistors Assortment"</t>
  </si>
  <si>
    <t xml:space="preserve">Misc. resistors</t>
  </si>
  <si>
    <t xml:space="preserve">https://www.amazon.ca/dp/B07P3MFG5D</t>
  </si>
  <si>
    <t xml:space="preserve">https://www.amazon.ca/s?k=resistor+assortment+kit+1%2F4w+metal+film</t>
  </si>
  <si>
    <t xml:space="preserve">2.2 kOhm 1/2 W resistors, 10 pcs</t>
  </si>
  <si>
    <t xml:space="preserve">1 needed (PC817 LED from 12 V) | Listing: "E-Projects 10EP5122K20 2.2k Ohm Resistors, 1/2 W, 5% (Pack of 10)"</t>
  </si>
  <si>
    <t xml:space="preserve">Isolated seat/pod sense</t>
  </si>
  <si>
    <t xml:space="preserve">https://www.amazon.ca/dp/B0185FKB2S</t>
  </si>
  <si>
    <t xml:space="preserve">https://www.amazon.ca/s?k=2.2k+ohm+1%2F2w+resistor</t>
  </si>
  <si>
    <t xml:space="preserve">PC817 optocoupler DIP-4, 20 pcs</t>
  </si>
  <si>
    <t xml:space="preserve">1-2 needed (cradle reclined / pod down READ contacts) | Listing: "Gikfun OPTOCOUPLER DIP-4 PC817C PC817 for Arduino DIY (Pack of 20pcs) AE1143"</t>
  </si>
  <si>
    <t xml:space="preserve">Isolated position sense into Falcon Command</t>
  </si>
  <si>
    <t xml:space="preserve">https://www.amazon.ca/dp/B01JG8EJVW</t>
  </si>
  <si>
    <t xml:space="preserve">https://www.amazon.ca/s?k=pc817+optocoupler+dip</t>
  </si>
  <si>
    <t xml:space="preserve">Perfboard 7 x 9 cm, 10 pcs</t>
  </si>
  <si>
    <t xml:space="preserve">3 needed (one carrier per DevKitC-1, fits the printed enclosure) | Listing: "10pcs 7x9cm Universal PCB Prototype Single Sided DIY Universal Circuit Board, Circuit Board Point to"</t>
  </si>
  <si>
    <t xml:space="preserve">ESP32 carrier boards</t>
  </si>
  <si>
    <t xml:space="preserve">https://www.amazon.ca/dp/B07GJ788H4</t>
  </si>
  <si>
    <t xml:space="preserve">https://www.amazon.ca/s?k=perfboard+7x9+cm</t>
  </si>
  <si>
    <t xml:space="preserve">2.54 mm male + female pin header kit</t>
  </si>
  <si>
    <t xml:space="preserve">Female headers to socket each DevKitC-1 | Listing: "Glarks 40pcs 2.54mm Male and Female Pin Header Connectors 8 Kinds Header Connector Kit for Arduino P"</t>
  </si>
  <si>
    <t xml:space="preserve">https://www.amazon.ca/dp/B01GY36RJY</t>
  </si>
  <si>
    <t xml:space="preserve">https://www.amazon.ca/s?k=2.54mm+male+female+pin+header+kit</t>
  </si>
  <si>
    <t xml:space="preserve">JST-XH 2.54 mm connector kit with pre-crimped leads</t>
  </si>
  <si>
    <t xml:space="preserve">No crimper needed | Listing: "XH 2.54mm Connector Kit with pre-Crimped Cable Wire 2/3/4/5/6/7/8/9/10 Pin Housing JST Adapter Cable"</t>
  </si>
  <si>
    <t xml:space="preserve">Panel harness connectors</t>
  </si>
  <si>
    <t xml:space="preserve">https://www.amazon.ca/dp/B08G18PWQ6</t>
  </si>
  <si>
    <t xml:space="preserve">https://www.amazon.ca/s?k=jst+xh+connector+kit+pre+crimped</t>
  </si>
  <si>
    <t xml:space="preserve">Dupont jumper wires, 120 pcs</t>
  </si>
  <si>
    <t xml:space="preserve">Bench testing + short links | Listing: "ELEGOO 120pcs 20cm Multicolored Dupont Wire for Programming Coding Stem"</t>
  </si>
  <si>
    <t xml:space="preserve">Prototyping</t>
  </si>
  <si>
    <t xml:space="preserve">https://www.amazon.ca/dp/B01EV70C78</t>
  </si>
  <si>
    <t xml:space="preserve">https://www.amazon.ca/s?k=dupont+jumper+wires</t>
  </si>
  <si>
    <t xml:space="preserve">Cat6 patch cable 7.6 m (25 ft)</t>
  </si>
  <si>
    <t xml:space="preserve">Measure Command board -&gt; overhead (pod top band) first; route through the pod pivot service loop | Listing: "Cable Matters 10Gbps Snagless Cat 6 Ethernet Cable, 25ft, Black"</t>
  </si>
  <si>
    <t xml:space="preserve">Falcon Command -&gt; overhead 74HC165 chain (CLK, LOAD, DATA, 3V3, GND)</t>
  </si>
  <si>
    <t xml:space="preserve">https://www.amazon.ca/dp/B007NZGPAY</t>
  </si>
  <si>
    <t xml:space="preserve">https://www.amazon.ca/s?k=cat6+patch+cable+25+ft</t>
  </si>
  <si>
    <t xml:space="preserve">22 AWG stranded hookup wire kit (6 colours)</t>
  </si>
  <si>
    <t xml:space="preserve">Not in the source parts lists, but needed to wire ~60 switches/LEDs to the boards | Listing: "Fermerry 22 Gauge Wire Silicone Electrical Wire Kit 6 Colors 10ft Each"</t>
  </si>
  <si>
    <t xml:space="preserve">Switch + LED wiring</t>
  </si>
  <si>
    <t xml:space="preserve">https://www.amazon.ca/dp/B089CQHRDT</t>
  </si>
  <si>
    <t xml:space="preserve">https://www.amazon.ca/s?k=22+awg+stranded+hookup+wire+kit</t>
  </si>
  <si>
    <t xml:space="preserve">Panel controls</t>
  </si>
  <si>
    <t xml:space="preserve">Mini toggle switch MTS-102, 6 mm (1/4") bushing, 10 pcs</t>
  </si>
  <si>
    <t xml:space="preserve">26 needed: 22 ON-OFF (use 2 of 3 pins) + 4 under printed missile guards (ENG ARM, JUMP ARM, EJECT +1). Note: you may already own some of these (tick Have it if so). | Listing: "MTS-102 6A 125V Mini 3PIN ON-Off Toggle Switches for Switching Lights Motors 10pcs (MTS-102)"</t>
  </si>
  <si>
    <t xml:space="preserve">Pilot/Ops/overhead toggles</t>
  </si>
  <si>
    <t xml:space="preserve">https://www.amazon.ca/dp/B0CX9FDTJ8</t>
  </si>
  <si>
    <t xml:space="preserve">https://www.amazon.ca/s?k=mts-102+mini+toggle+switch+6mm</t>
  </si>
  <si>
    <t xml:space="preserve">Mini toggle MTS-103 ON-OFF-ON, 6 mm bushing, 10 pcs</t>
  </si>
  <si>
    <t xml:space="preserve">2 needed (+1 spare). Note: you may already own some of these (tick Have it if so). | Listing: "MTS-103 6A 125V Mini 3PIN ON-Off-ON Toggle Switches for Switching Lights Motors 10pcs (MTS-103)"</t>
  </si>
  <si>
    <t xml:space="preserve">Pilot FLAPS</t>
  </si>
  <si>
    <t xml:space="preserve">https://www.amazon.ca/dp/B0D47RXXMK</t>
  </si>
  <si>
    <t xml:space="preserve">https://www.amazon.ca/s?k=mts-103+on-off-on+mini+toggle</t>
  </si>
  <si>
    <t xml:space="preserve">22 mm momentary push buttons (LA38, 5 colours), 6 pcs</t>
  </si>
  <si>
    <t xml:space="preserve">8 needed (6 + 2 spares); 3 mm panel. Note: you may already own some of these (tick Have it if so). | Listing: "6 Pcs 440V 22mm Momentary Push Button Switch 10A 5 Color (Red/Bule/Green/White/Yellow/Black) LA38-11"</t>
  </si>
  <si>
    <t xml:space="preserve">IGNITION, BOOST, ENGAGE, START, PAUSE, CAUTION RESET</t>
  </si>
  <si>
    <t xml:space="preserve">https://www.amazon.ca/dp/B09F39MBKD</t>
  </si>
  <si>
    <t xml:space="preserve">https://www.amazon.ca/s?k=22mm+momentary+push+button</t>
  </si>
  <si>
    <t xml:space="preserve">19 mm momentary metal push buttons, 2 pcs</t>
  </si>
  <si>
    <t xml:space="preserve">3 needed (2 + 1 spare). Note: you may already own some of these (tick Have it if so). | Listing: "2pcs 19mm Momentary Metal Push Button Switch High Round Head with Pre-soldered Cable 3/4" Mounting H"</t>
  </si>
  <si>
    <t xml:space="preserve">FIRE SUPPR, INTERCOM</t>
  </si>
  <si>
    <t xml:space="preserve">https://www.amazon.ca/dp/B0GGYZJFHD</t>
  </si>
  <si>
    <t xml:space="preserve">https://www.amazon.ca/s?k=19mm+momentary+push+button+metal</t>
  </si>
  <si>
    <t xml:space="preserve">16 mm momentary metal push buttons, 5 pcs</t>
  </si>
  <si>
    <t xml:space="preserve">10 needed (8 + 2 spares). Note: you may already own some of these (tick Have it if so). | Listing: "Gebildet 5pcs Momentary Push Button Screw Type Terminals Stainless Steel Metal Waterproof Button 16m"</t>
  </si>
  <si>
    <t xml:space="preserve">HORN, VIEW, SCAN PING, NAV TGT, 4 failure buttons</t>
  </si>
  <si>
    <t xml:space="preserve">https://www.amazon.ca/dp/B081JJBN4G</t>
  </si>
  <si>
    <t xml:space="preserve">https://www.amazon.ca/s?k=16mm+momentary+push+button+metal</t>
  </si>
  <si>
    <t xml:space="preserve">EC11 rotary encoder with push switch + knob, 10 pcs</t>
  </si>
  <si>
    <t xml:space="preserve">5 needed (4 + 1 spare), 7 mm panel hole. Note: you may already own some of these (tick Have it if so). | Listing: "WMYCONGCONG 10 PCS 20MM EC11 Rotary Encoder Code Switch 7 Pins Digital Potentiometer with Knob Cap"</t>
  </si>
  <si>
    <t xml:space="preserve">FLIGHT ASSIST, OPS MODE, MISSION, DIMMER</t>
  </si>
  <si>
    <t xml:space="preserve">https://www.amazon.ca/dp/B07VCNNV88</t>
  </si>
  <si>
    <t xml:space="preserve">https://www.amazon.ca/s?k=ec11+rotary+encoder+with+knob</t>
  </si>
  <si>
    <t xml:space="preserve">B10K linear potentiometer, 16 mm, 6 mm D shaft</t>
  </si>
  <si>
    <t xml:space="preserve">1 needed; check pack size on the listing | Listing: "Variable Resistor Potentiometer Flatted 6mm D Shaft Linear Taper Pot B D (B10K)"</t>
  </si>
  <si>
    <t xml:space="preserve">Pilot throttle lever (printed quadrant)</t>
  </si>
  <si>
    <t xml:space="preserve">https://www.amazon.ca/dp/B0CLP8SVJN</t>
  </si>
  <si>
    <t xml:space="preserve">https://www.amazon.ca/s?k=b10k+linear+potentiometer+6mm+d+shaft</t>
  </si>
  <si>
    <t xml:space="preserve">KW11 lever micro switch, 10 pcs</t>
  </si>
  <si>
    <t xml:space="preserve">2 needed in the printed gear lever box | Listing: "OTOTEC 10Pcs 3 Pin Mini Micro Limit Switch 5A 125/250V Lever Type Micro Switch for Electronic Equipm"</t>
  </si>
  <si>
    <t xml:space="preserve">LANDING GEAR lever</t>
  </si>
  <si>
    <t xml:space="preserve">https://www.amazon.ca/dp/B0F9XYYSPZ</t>
  </si>
  <si>
    <t xml:space="preserve">https://www.amazon.ca/s?k=kw11+micro+switch+lever</t>
  </si>
  <si>
    <t xml:space="preserve">19 mm key switch, 2 position, key removable in OFF</t>
  </si>
  <si>
    <t xml:space="preserve">MASTER POWER (game input). Rotary 2-position metal key switch, 1NO1NC. Check key is removable in OFF only | Listing: "19mm 3/4" ON/OFF Rotary Key Switch, Metal Lock Switch with Kept Lock and Wired Lock (19mm 2 Position"</t>
  </si>
  <si>
    <t xml:space="preserve">CMD_A MASTER POWER</t>
  </si>
  <si>
    <t xml:space="preserve">https://www.amazon.ca/dp/B09M849WCK</t>
  </si>
  <si>
    <t xml:space="preserve">https://www.amazon.ca/s?k=19mm+key+switch+2+position</t>
  </si>
  <si>
    <t xml:space="preserve">LED backlighting</t>
  </si>
  <si>
    <t xml:space="preserve">WS2812B LED strip 5 V, 60 LED/m, 5 m, IP30 (no sleeve)</t>
  </si>
  <si>
    <t xml:space="preserve">BTF-LIGHTING ECO; this ASIN is the Black PCB / IP30 / 5 m 60 LED/m variant (checked). 10 mm wide strip fits the 12 mm channels; ~136 label LEDs + panel hops | Listing: "BTF-LIGHTING WS2812B IC ECO Individually Addressable RGB LED Strip Lights"</t>
  </si>
  <si>
    <t xml:space="preserve">Backlit labels, one continuous strip</t>
  </si>
  <si>
    <t xml:space="preserve">https://www.amazon.ca/dp/B0F8VDHK22</t>
  </si>
  <si>
    <t xml:space="preserve">https://www.amazon.ca/s?k=ws2812b+5m+60+led+ip30</t>
  </si>
  <si>
    <t xml:space="preserve">WS2812D-F5 5 mm through-hole addressable RGB LEDs, ~40 pcs</t>
  </si>
  <si>
    <t xml:space="preserve">32 status holes + spares; spliced into the same data line. NOT found on amazon.ca (only plain 4-pin RGB). Try AliExpress / Digi-Key, or use plain LEDs + 74HC595 (firmware change)</t>
  </si>
  <si>
    <t xml:space="preserve">Status/indicator LEDs (*_LED ids)</t>
  </si>
  <si>
    <t xml:space="preserve">https://www.amazon.ca/s?k=WS2812D-F5+5mm+addressable+RGB+LED</t>
  </si>
  <si>
    <t xml:space="preserve">No suitable listing found - estimate</t>
  </si>
  <si>
    <t xml:space="preserve">5 mm LED holders / bezels, 50 pcs</t>
  </si>
  <si>
    <t xml:space="preserve">32 needed. Note: you may already own some of these (tick Have it if so). | Listing: "PATIKIL 5mm Emitting Diode Holder, 50 Pcs Plastic Flat LED Holder Clip Mounting Bracket Socket Cap f"</t>
  </si>
  <si>
    <t xml:space="preserve">Status LED holes</t>
  </si>
  <si>
    <t xml:space="preserve">https://www.amazon.ca/dp/B0DJR583BY</t>
  </si>
  <si>
    <t xml:space="preserve">https://www.amazon.ca/s?k=5mm+led+holder+bezel</t>
  </si>
  <si>
    <t xml:space="preserve">Mean Well LRS-50-5 (5 V 10 A) power supply</t>
  </si>
  <si>
    <t xml:space="preserve">Firmware caps strip at 8 A; inject power at start/middle/end | Listing: "Mean Well LRS-50-5 Switching Power Supply, Single Output, 5V, 10A, 50W, 3.9" L x 3.23" W x 1.18" H"</t>
  </si>
  <si>
    <t xml:space="preserve">LED strip power</t>
  </si>
  <si>
    <t xml:space="preserve">https://www.amazon.ca/dp/B019GYOCMM</t>
  </si>
  <si>
    <t xml:space="preserve">https://www.amazon.ca/s?k=mean+well+lrs-50-5</t>
  </si>
  <si>
    <t xml:space="preserve">Inline 5x20 mm fuse holders + fast-blow fuse kit</t>
  </si>
  <si>
    <t xml:space="preserve">Use a 10 A fuse at the PSU output | Listing: "Fuse Kit Car Fuses - 10pcs 5x20mm AGC Inline Fuse Holder + 100pcs 5x20mm Fast-Blow Glass Fuses Quick"</t>
  </si>
  <si>
    <t xml:space="preserve">LED PSU output fuse</t>
  </si>
  <si>
    <t xml:space="preserve">https://www.amazon.ca/dp/B07X8WL5TC</t>
  </si>
  <si>
    <t xml:space="preserve">https://www.amazon.ca/s?k=inline+fuse+holder+5x20+kit</t>
  </si>
  <si>
    <t xml:space="preserve">16 AWG red/black 2-conductor wire, 15 m (50 ft)</t>
  </si>
  <si>
    <t xml:space="preserve">LED power trunk. Prefer pure copper (check listing) | Listing: "VIABRICO 16AWG 50FT Electrical Wire Cable 2 Conductors Red Black Cable Hookup LED Lighting Strips Fl"</t>
  </si>
  <si>
    <t xml:space="preserve">LED 5 V trunk</t>
  </si>
  <si>
    <t xml:space="preserve">https://www.amazon.ca/dp/B0CNRTZ4N3</t>
  </si>
  <si>
    <t xml:space="preserve">https://www.amazon.ca/s?k=16+awg+red+black+wire+copper</t>
  </si>
  <si>
    <t xml:space="preserve">18 AWG red/black silicone wire, 7.6 m (25 ft)</t>
  </si>
  <si>
    <t xml:space="preserve">Injection drops; 2nd roll for the 12 V switch circuits of the interlock | Listing: "BNTECHGO 18 AWG Silicone Wire Red Black 25ft Stranded Tinned Copper Wire"</t>
  </si>
  <si>
    <t xml:space="preserve">LED injection + interlock switch wiring</t>
  </si>
  <si>
    <t xml:space="preserve">https://www.amazon.ca/dp/B07HGTKQ89</t>
  </si>
  <si>
    <t xml:space="preserve">https://www.amazon.ca/s?k=18+awg+red+black+silicone+wire</t>
  </si>
  <si>
    <t xml:space="preserve">JST-SM 3-pin pigtails (WS2812), 60 pcs</t>
  </si>
  <si>
    <t xml:space="preserve">Panel-to-panel strip hops, removable panels | Listing: "JST SM 3 Pin Connectors for WS2812B WS2812 WS2811, 22AWG LED Male/Female Connector Adapter Open Wire"</t>
  </si>
  <si>
    <t xml:space="preserve">LED strip connectors</t>
  </si>
  <si>
    <t xml:space="preserve">https://www.amazon.ca/dp/B0CP94DL4F</t>
  </si>
  <si>
    <t xml:space="preserve">https://www.amazon.ca/s?k=jst+sm+3+pin+connector+ws2812</t>
  </si>
  <si>
    <t xml:space="preserve">Printed parts: filament &amp; inserts</t>
  </si>
  <si>
    <t xml:space="preserve">PETG filament 1.75 mm BLACK, 1 kg</t>
  </si>
  <si>
    <t xml:space="preserve">Estimate 5.3 kg incl. 15 % waste (see Notes sheet) -&gt; 6 spools. Panels, enclosures, mounts, harness hub (PETG required there) | Listing: "ELEGOO PETG 3D Printer Filament 1.75mm Black 1KG, Strong &amp; Durable"</t>
  </si>
  <si>
    <t xml:space="preserve">All black printed parts</t>
  </si>
  <si>
    <t xml:space="preserve">https://www.amazon.ca/dp/B0D41Y3WWZ</t>
  </si>
  <si>
    <t xml:space="preserve">https://www.amazon.ca/s?k=petg+filament+1.75+black+1kg</t>
  </si>
  <si>
    <t xml:space="preserve">PETG filament 1.75 mm WHITE, 1 kg</t>
  </si>
  <si>
    <t xml:space="preserve">Estimate only ~0.06 kg (letters/inserts) - 1 spool is plenty | Listing: "ELEGOO Rapid PETG 3D Printer Filament 1.75mm White 1KG"</t>
  </si>
  <si>
    <t xml:space="preserve">Backlit letters / letter inserts</t>
  </si>
  <si>
    <t xml:space="preserve">https://www.amazon.ca/dp/B0CMC78XKT</t>
  </si>
  <si>
    <t xml:space="preserve">https://www.amazon.ca/s?k=petg+filament+1.75+white+1kg</t>
  </si>
  <si>
    <t xml:space="preserve">Brass heat-set inserts kit M2-M6 (360 pcs)</t>
  </si>
  <si>
    <t xml:space="preserve">Harness hub 5x M3 each; pivot cable clamps M4 | Listing: "Besitu 360Pcs Threaded Inserts M2 M2.5 M3 M4 M5 M6 Brass Heat Set Insert for Plastic Metric Knurled "</t>
  </si>
  <si>
    <t xml:space="preserve">Harness hub, pivot cable clamps</t>
  </si>
  <si>
    <t xml:space="preserve">https://www.amazon.ca/dp/B0CNRSJ1B2</t>
  </si>
  <si>
    <t xml:space="preserve">https://www.amazon.ca/s?k=heat+set+inserts+kit+m3+m4</t>
  </si>
  <si>
    <t xml:space="preserve">Metric socket screw assortment M2-M5 (1760 pcs)</t>
  </si>
  <si>
    <t xml:space="preserve">Covers M3x20 (hub), M3x12, M4x12/16/20/25 (TD2220, monitors, clamps). Check M4 lengths vs your VESA inserts | Listing: "Besitu 1760pcs M2 M3 M4 M5 Metric Screw Assortment, Grade 12.9 Alloy Steel Hex Socket Head Cap Metri"</t>
  </si>
  <si>
    <t xml:space="preserve">Printed-part and display screws</t>
  </si>
  <si>
    <t xml:space="preserve">https://www.amazon.ca/dp/B0C38YFL3D</t>
  </si>
  <si>
    <t xml:space="preserve">https://www.amazon.ca/s?k=m2+m3+m4+m5+socket+head+screw+assortment</t>
  </si>
  <si>
    <t xml:space="preserve">Self-tapping screw assortment M2 / M2.5 / M3</t>
  </si>
  <si>
    <t xml:space="preserve">12x M2.5x6 (perfboards) + 12x M3x10 (enclosure lids) | Listing: "1200Pcs M2 M2.5 M3 Small Phillips Flat Head Self Tapping Screws for Wood,Plastic and Soft Metal,Coun"</t>
  </si>
  <si>
    <t xml:space="preserve">ESP32 enclosures</t>
  </si>
  <si>
    <t xml:space="preserve">https://www.amazon.ca/dp/B09CT54JJZ</t>
  </si>
  <si>
    <t xml:space="preserve">https://www.amazon.ca/s?k=self+tapping+screw+assortment+m2.5+m3</t>
  </si>
  <si>
    <t xml:space="preserve">Frame lumber &amp; sheet goods</t>
  </si>
  <si>
    <t xml:space="preserve">2x4 SPF stud 8 ft (2438 mm), kiln dried</t>
  </si>
  <si>
    <t xml:space="preserve">22 used by the cut list + 2 spares. 38 x 89 mm (1.5" x 3.5"). Pick straight boards. Kent Fredericton price (South/Bishop Dr and North/Two Nations Crossing, same price) checked 2026-10-09</t>
  </si>
  <si>
    <t xml:space="preserve">Frame (see frame/cut_list.md)</t>
  </si>
  <si>
    <t xml:space="preserve">Kent</t>
  </si>
  <si>
    <t xml:space="preserve">https://kent.ca/en/2-x-4-x-8-spf-stud-kiln-dried-1016318</t>
  </si>
  <si>
    <t xml:space="preserve">https://kent.ca/en/search?q=2x4x8+stud</t>
  </si>
  <si>
    <t xml:space="preserve">2026-10-09</t>
  </si>
  <si>
    <t xml:space="preserve">Kent.ca web price (Fredericton store)</t>
  </si>
  <si>
    <t xml:space="preserve">2x4 SPF 10 ft (3048 mm), kiln dried</t>
  </si>
  <si>
    <t xml:space="preserve">The two 2450 mm sills. Kent Fredericton price checked 2026-10-09</t>
  </si>
  <si>
    <t xml:space="preserve">Base sills</t>
  </si>
  <si>
    <t xml:space="preserve">https://kent.ca/en/2-x-4-x-10-2-better-spf-lumber-kiln-dried-1016338</t>
  </si>
  <si>
    <t xml:space="preserve">https://kent.ca/en/search?q=2x4x10</t>
  </si>
  <si>
    <t xml:space="preserve">Plywood 18 mm (3/4") 4x8 ft (1220 x 2440), spruce standard</t>
  </si>
  <si>
    <t xml:space="preserve">13.5 m2 net + ~30 % waste. Seat boxes/backs, consoles, cradle deck, pod cheeks (2 layers), pod bands, dais</t>
  </si>
  <si>
    <t xml:space="preserve">Frame panels</t>
  </si>
  <si>
    <t xml:space="preserve">https://kent.ca/en/3-4-x-4-x-8-18-5mm-spruce-plywood-standard-1015824</t>
  </si>
  <si>
    <t xml:space="preserve">https://kent.ca/en/search?q=3%2F4+plywood+4x8</t>
  </si>
  <si>
    <t xml:space="preserve">Plywood 12 mm (1/2") 4x8 ft, spruce standard</t>
  </si>
  <si>
    <t xml:space="preserve">9.2 m2 net. Casings, skins, nose box, pod back sheet + chin, crush-zone ramp</t>
  </si>
  <si>
    <t xml:space="preserve">Frame skins</t>
  </si>
  <si>
    <t xml:space="preserve">https://kent.ca/en/1-2-x-4-x-8-12-5mm-spruce-plywood-standard-1015823</t>
  </si>
  <si>
    <t xml:space="preserve">https://kent.ca/en/search?q=1%2F2+plywood+4x8</t>
  </si>
  <si>
    <t xml:space="preserve">6 mm (1/4") hardboard or plywood, 4x8 ft</t>
  </si>
  <si>
    <t xml:space="preserve">Small covers / templates. Price shown is Kent 1/4" meranti ply (hardboard is cheaper)</t>
  </si>
  <si>
    <t xml:space="preserve">Covers, templates</t>
  </si>
  <si>
    <t xml:space="preserve">https://kent.ca/en/1-4-x-4-x-8-meranti-plywood-1015821</t>
  </si>
  <si>
    <t xml:space="preserve">https://kent.ca/en/search?q=1%2F4+hardboard+4x8</t>
  </si>
  <si>
    <t xml:space="preserve">Fasteners &amp; general hardware</t>
  </si>
  <si>
    <t xml:space="preserve">Construction screws 5 x 80 mm (#10 x 3"), 1 box</t>
  </si>
  <si>
    <t xml:space="preserve">2x4 joints, 2 per joint min.</t>
  </si>
  <si>
    <t xml:space="preserve">Frame</t>
  </si>
  <si>
    <t xml:space="preserve">Kent / Home Depot</t>
  </si>
  <si>
    <t xml:space="preserve">https://kent.ca/en/search?q=construction+screws+%2310+x+3</t>
  </si>
  <si>
    <t xml:space="preserve">Estimate - check in store</t>
  </si>
  <si>
    <t xml:space="preserve">Wood screws 4 x 40 mm (#8 x 1-1/2"), 1 box</t>
  </si>
  <si>
    <t xml:space="preserve">Ply to 2x4</t>
  </si>
  <si>
    <t xml:space="preserve">https://kent.ca/en/search?q=wood+screws+%238+x+1-1%2F2</t>
  </si>
  <si>
    <t xml:space="preserve">Wood screws 4 x 25 mm (#8 x 1"), 1 box</t>
  </si>
  <si>
    <t xml:space="preserve">Skins, clips, limit-switch brackets; also the 30x M4x25 countersunk screws for the TD2220 trim laps</t>
  </si>
  <si>
    <t xml:space="preserve">Frame, trim ring</t>
  </si>
  <si>
    <t xml:space="preserve">https://kent.ca/en/search?q=wood+screws+%238+x+1</t>
  </si>
  <si>
    <t xml:space="preserve">PVA wood glue, 1 L</t>
  </si>
  <si>
    <t xml:space="preserve">Cheek laminations, boxes</t>
  </si>
  <si>
    <t xml:space="preserve">https://kent.ca/en/search?q=wood+glue+1+l</t>
  </si>
  <si>
    <t xml:space="preserve">M5 four-prong T-nuts, M5 x 8 mm, 200 pcs</t>
  </si>
  <si>
    <t xml:space="preserve">Drill the barrel hole (~7 mm, check) on the 40 mm grid, press in from the back | Listing: "M4 M5 M6 M8 M10 M12 Carbon Steel 4 Prongs T Nut Tee Nuts Furniture Wood Insert (200,M5 x 8mm)"</t>
  </si>
  <si>
    <t xml:space="preserve">Panel bays</t>
  </si>
  <si>
    <t xml:space="preserve">https://www.amazon.ca/dp/B0FF4HDSK3</t>
  </si>
  <si>
    <t xml:space="preserve">https://www.amazon.ca/s?k=m5+tee+nut+4+prong+200</t>
  </si>
  <si>
    <t xml:space="preserve">M5 x 20 flanged button-head socket screws, black, 50 pcs</t>
  </si>
  <si>
    <t xml:space="preserve">200 needed -&gt; 4 packs (flanged, washers optional) | Listing: "50Pcs M5 x 20mm Flanged Button Head Socket Cap Screws Bolts, Allen Socket Drive M5 Screws Bolts Blac"</t>
  </si>
  <si>
    <t xml:space="preserve">Panels into T-nuts</t>
  </si>
  <si>
    <t xml:space="preserve">https://www.amazon.ca/dp/B0FR1FQ1B7</t>
  </si>
  <si>
    <t xml:space="preserve">https://www.amazon.ca/s?k=m5+x+20+button+head+socket+screw+black</t>
  </si>
  <si>
    <t xml:space="preserve">M5 flat washers, 200 pcs</t>
  </si>
  <si>
    <t xml:space="preserve">Optional with flanged screws | Listing: "M5 Flat Washers Carbon Steel 200HV Color Zinc Plated, 200 PCS Metric Plain Washers Heavy Duty Hardwa"</t>
  </si>
  <si>
    <t xml:space="preserve">Panels</t>
  </si>
  <si>
    <t xml:space="preserve">https://www.amazon.ca/dp/B0GX28963L</t>
  </si>
  <si>
    <t xml:space="preserve">https://www.amazon.ca/s?k=m5+flat+washers+200</t>
  </si>
  <si>
    <t xml:space="preserve">M6 x 50 carriage bolts + fender washers + nylocks</t>
  </si>
  <si>
    <t xml:space="preserve">2 printed monitor standoffs x 4 bolts through the pod back sheet</t>
  </si>
  <si>
    <t xml:space="preserve">Monitor standoffs</t>
  </si>
  <si>
    <t xml:space="preserve">https://kent.ca/en/search?q=m6+x+50+carriage+bolt</t>
  </si>
  <si>
    <t xml:space="preserve">2 mm stainless safety cable with loops, 300 mm (12"), 5 pcs</t>
  </si>
  <si>
    <t xml:space="preserve">REQUIRED: one per monitor, VESA screw -&gt; eye screw in the back sheet, &lt;= 50 mm slack (the pod parks monitors face-down). Plus 2 eye screws (Kent) | Listing: "PATIKIL 2mmD x 12" L Outdoor Travel Security Cable, 5PCS 304 Stainless Steel Safety Wire Rope Luggag"</t>
  </si>
  <si>
    <t xml:space="preserve">Monitor safety tethers</t>
  </si>
  <si>
    <t xml:space="preserve">https://www.amazon.ca/dp/B0FQP7W6J3</t>
  </si>
  <si>
    <t xml:space="preserve">https://www.amazon.ca/s?k=2mm+stainless+safety+cable+loops+12+inch</t>
  </si>
  <si>
    <t xml:space="preserve">Pivot bolts M6 x 30 + M4 x 40 with nylocks</t>
  </si>
  <si>
    <t xml:space="preserve">Throttle lever pivot (M6x30), gear lever pivot (M4x40)</t>
  </si>
  <si>
    <t xml:space="preserve">Throttle + gear lever</t>
  </si>
  <si>
    <t xml:space="preserve">https://kent.ca/en/search?q=m6+x+30+bolt</t>
  </si>
  <si>
    <t xml:space="preserve">Motion system: pivots, shafts, bearings</t>
  </si>
  <si>
    <t xml:space="preserve">25 mm linear shaft, 1000 mm, 2 pcs</t>
  </si>
  <si>
    <t xml:space="preserve">Cradle shaft (one per side). Case-hardened chrome rod is hard to cut - bright steel h9 from a metal supplier is the BOM spec and cuts easily | Listing: "VEVOR 2PCS Linear Motion Rod, 25 mm x 1000 mm (0.98 x 39.4 in), SFC25 Carbon Steel Linear Rod Shaft,"</t>
  </si>
  <si>
    <t xml:space="preserve">Cradle pivot</t>
  </si>
  <si>
    <t xml:space="preserve">https://www.amazon.ca/dp/B0G5ZDQB47</t>
  </si>
  <si>
    <t xml:space="preserve">https://www.amazon.ca/s?k=25mm+shaft+1000mm</t>
  </si>
  <si>
    <t xml:space="preserve">25 mm bright steel round bar (h9), 2 x ~250 mm</t>
  </si>
  <si>
    <t xml:space="preserve">Pod shaft stubs (tower post outer -&gt; inner). Local metal supplier / cut from bar</t>
  </si>
  <si>
    <t xml:space="preserve">Pod pivot</t>
  </si>
  <si>
    <t xml:space="preserve">Local metal supplier</t>
  </si>
  <si>
    <t xml:space="preserve">https://www.google.com/search?q=25mm+steel+round+bar+Fredericton+NB</t>
  </si>
  <si>
    <t xml:space="preserve">Estimate - get a quote</t>
  </si>
  <si>
    <t xml:space="preserve">SHF25 shaft supports, 4 pcs</t>
  </si>
  <si>
    <t xml:space="preserve">6 needed (cradle shaft on 2 pedestals, pod shaft on inner tower posts + 2 spare positions) -&gt; 2 packs | Listing: "PATIKIL SHF25 Aluminum Linear Motion Rod Rail Clamping Guide Support, 4 Pcs for 25mm Dia Shaft"</t>
  </si>
  <si>
    <t xml:space="preserve">Cradle + pod shafts</t>
  </si>
  <si>
    <t xml:space="preserve">https://www.amazon.ca/dp/B0D9RTBQF2</t>
  </si>
  <si>
    <t xml:space="preserve">https://www.amazon.ca/s?k=shf25+shaft+support</t>
  </si>
  <si>
    <t xml:space="preserve">UCP205 pillow block bearings 25 mm, 2-pack</t>
  </si>
  <si>
    <t xml:space="preserve">Under the rear ends of the cradle rails | Listing: "XIKE UCP205 Pillow Block Bearing, 25 mm Bore, Self-Aligning Mounted Bearing Unit, 2-Pack"</t>
  </si>
  <si>
    <t xml:space="preserve">https://www.amazon.ca/dp/B08HJYZK1X</t>
  </si>
  <si>
    <t xml:space="preserve">https://www.amazon.ca/s?k=ucp205+pillow+block+bearing+25mm</t>
  </si>
  <si>
    <t xml:space="preserve">UCF205 4-bolt flange bearing 25 mm</t>
  </si>
  <si>
    <t xml:space="preserve">In the pod cheeks (one each side) | Listing: "uxcell UCF205 Flange Block Bearings 25mm Bore Cast Iron Bearing Unit Set Screw Lock"</t>
  </si>
  <si>
    <t xml:space="preserve">https://www.amazon.ca/dp/B0BLLVF9DB</t>
  </si>
  <si>
    <t xml:space="preserve">https://www.amazon.ca/s?k=ucf205+flange+bearing+25mm</t>
  </si>
  <si>
    <t xml:space="preserve">25 mm steel double-split shaft collars, 2 pcs</t>
  </si>
  <si>
    <t xml:space="preserve">4 needed -&gt; 2 packs | Listing: "uxcell 2pcs Double Split Shaft Collars 25mm Bore, Two-Piece Clamping Collar 38mm OD 12mm Thickness C"</t>
  </si>
  <si>
    <t xml:space="preserve">Stop shafts walking</t>
  </si>
  <si>
    <t xml:space="preserve">https://www.amazon.ca/dp/B0G2Q98L26</t>
  </si>
  <si>
    <t xml:space="preserve">https://www.amazon.ca/s?k=25mm+shaft+collar+steel</t>
  </si>
  <si>
    <t xml:space="preserve">6 mm steel plate 120 x 120 mm with 4 holes</t>
  </si>
  <si>
    <t xml:space="preserve">Under the pod bearings / supports on the tower posts. Metal shop or cut from flat bar</t>
  </si>
  <si>
    <t xml:space="preserve">https://www.google.com/search?q=6mm+steel+plate+Fredericton+NB</t>
  </si>
  <si>
    <t xml:space="preserve">M10 x 90 coach screws + washers</t>
  </si>
  <si>
    <t xml:space="preserve">Bearings and shaft supports to the frame (~4 per bearing/support)</t>
  </si>
  <si>
    <t xml:space="preserve">Bearings</t>
  </si>
  <si>
    <t xml:space="preserve">https://kent.ca/en/search?q=m10+x+90+lag+screw</t>
  </si>
  <si>
    <t xml:space="preserve">M8 x 60 bolts + nylocks + washers</t>
  </si>
  <si>
    <t xml:space="preserve">Actuator clevises (use your actuators' pin size) + strut brackets</t>
  </si>
  <si>
    <t xml:space="preserve">Actuators, struts</t>
  </si>
  <si>
    <t xml:space="preserve">https://kent.ca/en/search?q=m8+x+60+bolt</t>
  </si>
  <si>
    <t xml:space="preserve">Motion system: drive &amp; locks</t>
  </si>
  <si>
    <t xml:space="preserve">Cradle linear actuator 12 V, 10" (254 mm) stroke, 1500 N (330 lbf), self-locking</t>
  </si>
  <si>
    <t xml:space="preserve">Spec: ~364 mm (14.3") retracted pin-to-pin +-10 mm, &lt;= 10 mm/s, internal limits, PUSH to recline; worst case ~775 N each. Listing (checked 2026-10-08): 250 mm stroke, retracted 370 mm (within +-10), extended 620 mm, self-locking, built-in limits, 4 A, brackets + polarity switch included | Listing: "Fast Linear Motion Actuator 10mm/s 12V Linear Actuator, 10" Stroke 330lb (1500N) Heavy Duty Actuator"</t>
  </si>
  <si>
    <t xml:space="preserve">Seat recline (2 per cradle)</t>
  </si>
  <si>
    <t xml:space="preserve">https://www.amazon.ca/dp/B0FKMS7Y12</t>
  </si>
  <si>
    <t xml:space="preserve">https://www.amazon.ca/s?k=12v+linear+actuator+10+inch+stroke+330+lbs</t>
  </si>
  <si>
    <t xml:space="preserve">Pod linear actuator 12 V, 12" (300 mm) stroke, 1500 N (330 lbf), self-locking - ONE (left casing)</t>
  </si>
  <si>
    <t xml:space="preserve">Spec: 420 mm retracted pin-to-pin (model uses 436 -&gt; 706 mm of 420 -&gt; 720), &lt;= 10 mm/s, EXTEND to lower / RETRACT to raise; &lt;= 561 N normally, 850 N if both struts fail (1.8x margin). Listing (checked 2026-10-10, CA$67.82): RVMARINEPAT LA03-12-300-1500N, 300 mm stroke, 420/720 mm, 10 mm/s, self-locking, built-in limits, 4 A, brackets + polarity switch; same family as the cradle actuators. Pick size "300-1500N" | Listing: "Electric Actuator 12V 12 Inch Stroke, 330lb Heavy Duty Linear Actuator Lift, High Speed Linear Actua"</t>
  </si>
  <si>
    <t xml:space="preserve">Pod rotate up/down (single actuator + torque tube)</t>
  </si>
  <si>
    <t xml:space="preserve">https://www.amazon.ca/dp/B0FKMVCQPC</t>
  </si>
  <si>
    <t xml:space="preserve">https://www.amazon.ca/s?k=12v+linear+actuator+12+inch+stroke+330+lbs+1500N</t>
  </si>
  <si>
    <t xml:space="preserve">Gas struts (pair), ~250 mm extended, ~1050 N (235 lbf) each, M8 eye ends</t>
  </si>
  <si>
    <t xml:space="preserve">SPEC: F1 ~1050 N (buy 1000-1100 N), ~240 mm extended, &gt;= 71 mm stroke, 10 mm rod / 22-28 mm body, M8 eyelets (NOT 10 mm ball studs - only ~890 N rated). Sized so the pod is LIFT-biased (+16..+88 N m): an actuator failure sends it UP. Candidate (not verifiable today): YLLL 250 mm universal gas strut pair, 1000/1100 N, 8 mm eye hole, https://www.amazon.ca/dp/B09VDN2PX8 - price is an estimate</t>
  </si>
  <si>
    <t xml:space="preserve">Pod counterbalance</t>
  </si>
  <si>
    <t xml:space="preserve">https://www.amazon.ca/s?k=gas+strut+1000N+250mm+M8+eyelet+pair</t>
  </si>
  <si>
    <t xml:space="preserve">Steel angle brackets 50 x 50 x 5 mm with M8 hole</t>
  </si>
  <si>
    <t xml:space="preserve">2 strut anchors + 1 pod actuator anchor on the casings (heavy, not shelf brackets)</t>
  </si>
  <si>
    <t xml:space="preserve">Strut + actuator anchors</t>
  </si>
  <si>
    <t xml:space="preserve">https://kent.ca/en/search?q=heavy+steel+angle+bracket</t>
  </si>
  <si>
    <t xml:space="preserve">Torque tube: 2" x 2" x 1/8" square steel tube (HSS / A500), 1600 mm</t>
  </si>
  <si>
    <t xml:space="preserve">Ties the right cheek to the driven left cheek, behind the back sheet between the 2x4 stiffener rails. 298 N m/deg: 0.42 deg (6 mm at the chin) with both struts failed; 1.5 deg / 32 MPa if the actuator stalls against a right-side stop. Cut to length at the metal shop</t>
  </si>
  <si>
    <t xml:space="preserve">Pod: one actuator drives both cheeks without racking</t>
  </si>
  <si>
    <t xml:space="preserve">https://www.google.com/search?q=2x2x1%2F8+square+steel+tube+Fredericton+NB</t>
  </si>
  <si>
    <t xml:space="preserve">6 mm steel plates 150 x 61 mm, 4 x 11 mm holes (2 welded tube end plates + 2 backing plates)</t>
  </si>
  <si>
    <t xml:space="preserve">End plates welded square to the tube (or no-weld: 2 x 50x50x5 angles per end); backing plates on the outside of each cheek</t>
  </si>
  <si>
    <t xml:space="preserve">Torque tube to cheeks</t>
  </si>
  <si>
    <t xml:space="preserve">https://www.google.com/search?q=6mm+steel+plate+cut+to+size+welding+Fredericton+NB</t>
  </si>
  <si>
    <t xml:space="preserve">M10 x 70 bolts grade 8.8 + nylocks + washers</t>
  </si>
  <si>
    <t xml:space="preserve">4 per tube end through the 36 mm cheek + backing plate; 1 mm reamed holes, torque to spec</t>
  </si>
  <si>
    <t xml:space="preserve">https://kent.ca/en/search?q=m10+x+70+bolt+grade+8.8</t>
  </si>
  <si>
    <t xml:space="preserve">6 mm steel latch plates with UP and DOWN notches</t>
  </si>
  <si>
    <t xml:space="preserve">Laser cut / filed from cheek template drawing 06; bolted to the cheeks</t>
  </si>
  <si>
    <t xml:space="preserve">Pod mechanical locks</t>
  </si>
  <si>
    <t xml:space="preserve">https://www.google.com/search?q=laser+cutting+steel+plate+Fredericton+NB</t>
  </si>
  <si>
    <t xml:space="preserve">Spring-loaded steel pawl (barrel bolt / gate latch)</t>
  </si>
  <si>
    <t xml:space="preserve">Engages the latch plates, one per casing | Listing: "PEAKTOW PTT0023 Heavy Duty 6-7/8” Metal Lock Barrel Bolt Spring Loaded Latch W/Hardware for Gate Doo"</t>
  </si>
  <si>
    <t xml:space="preserve">https://www.amazon.ca/dp/B07GZHSCP6</t>
  </si>
  <si>
    <t xml:space="preserve">https://www.amazon.ca/s?k=spring+loaded+barrel+bolt+latch+heavy+duty</t>
  </si>
  <si>
    <t xml:space="preserve">Bowden cables + levers (bike brake lever set)</t>
  </si>
  <si>
    <t xml:space="preserve">Release both pawls from the lever box left of dad's seat (second hand needed for pod motion) | Listing: "Glarks 8Pcs Bike Brake Set Including 2 Pairs Black V-Type Brakes, 1 Pair Handlebars Brake Levers, 2P"</t>
  </si>
  <si>
    <t xml:space="preserve">Pod lock release</t>
  </si>
  <si>
    <t xml:space="preserve">https://www.amazon.ca/dp/B0B8C66T4Q</t>
  </si>
  <si>
    <t xml:space="preserve">https://www.amazon.ca/s?k=bicycle+brake+lever+cable+set</t>
  </si>
  <si>
    <t xml:space="preserve">Steel stop pins 12 mm (or 1/2" bolts) for hard stops</t>
  </si>
  <si>
    <t xml:space="preserve">Pod UP / DOWN hard stops on the cheeks hitting steel angles</t>
  </si>
  <si>
    <t xml:space="preserve">Pod hard stops</t>
  </si>
  <si>
    <t xml:space="preserve">https://kent.ca/en/search?q=1%2F2+inch+clevis+pin</t>
  </si>
  <si>
    <t xml:space="preserve">Rubber bumper / stop pads with screws (assorted)</t>
  </si>
  <si>
    <t xml:space="preserve">Bumpers on the pod stop pins; cradle recline stop (10 mm) and upright stop (6 mm) pads | Listing: "Swpeet 52 Sets 3 Sizes 18mm &amp; 24mm &amp; 30mm Round Black Furniture Pads with Screws, Heavy Duty Rubber "</t>
  </si>
  <si>
    <t xml:space="preserve">Hard stops</t>
  </si>
  <si>
    <t xml:space="preserve">https://www.amazon.ca/dp/B0D1XSZ8SF</t>
  </si>
  <si>
    <t xml:space="preserve">https://www.amazon.ca/s?k=rubber+bumper+pads+with+screws</t>
  </si>
  <si>
    <t xml:space="preserve">Motion system: hardwired interlock</t>
  </si>
  <si>
    <t xml:space="preserve">12 V 20 A (240 W) enclosed power supply</t>
  </si>
  <si>
    <t xml:space="preserve">BOM: 12 V 20 A, enclosed, mains fused. Only one motion runs at a time (cradle: 2 actuators in parallel, pod: 1 actuator) | Listing: "inShareplus 12V 20A 240W, DC Universal Regulated Switching Power Supply, Converter AC 100-240V to DC"</t>
  </si>
  <si>
    <t xml:space="preserve">Actuator power</t>
  </si>
  <si>
    <t xml:space="preserve">https://www.amazon.ca/dp/B07RJMG3FB</t>
  </si>
  <si>
    <t xml:space="preserve">https://www.amazon.ca/s?k=12v+20a+power+supply+enclosed</t>
  </si>
  <si>
    <t xml:space="preserve">Inline ATC fuse holder 12 AWG with 20/30/40 A fuses</t>
  </si>
  <si>
    <t xml:space="preserve">Use the 20 A blade fuse, right at the PSU | Listing: "DaierTek Inline Fuse Holder 12 AWG Waterproof ATC/ATO Blade Fuse Holder with 20 Amp 30 Amp 40 Amp In"</t>
  </si>
  <si>
    <t xml:space="preserve">Actuator circuit fuse</t>
  </si>
  <si>
    <t xml:space="preserve">https://www.amazon.ca/dp/B0BHY1RQQR</t>
  </si>
  <si>
    <t xml:space="preserve">https://www.amazon.ca/s?k=12+awg+inline+atc+fuse+holder</t>
  </si>
  <si>
    <t xml:space="preserve">19 mm key switch, 2 position (MOTION key) - drives a 30 A relay</t>
  </si>
  <si>
    <t xml:space="preserve">Key out = no motion. Same part as MASTER POWER | Listing: "19mm 3/4" ON/OFF Rotary Key Switch, Metal Lock Switch with Kept Lock and Wired Lock (19mm 2 Position"</t>
  </si>
  <si>
    <t xml:space="preserve">CMD_B MOTION key</t>
  </si>
  <si>
    <t xml:space="preserve">22 mm mushroom E-stop, NC, latching, twist release</t>
  </si>
  <si>
    <t xml:space="preserve">In series with the whole motion circuit | Listing: "uxcell 22mm NC N/C Red Mushroom Emergency Stop Push Button Switch 600V 10A Plastic Mounting"</t>
  </si>
  <si>
    <t xml:space="preserve">CMD_B STOP</t>
  </si>
  <si>
    <t xml:space="preserve">https://www.amazon.ca/dp/B019DSZWPC</t>
  </si>
  <si>
    <t xml:space="preserve">https://www.amazon.ca/s?k=22mm+emergency+stop+nc</t>
  </si>
  <si>
    <t xml:space="preserve">DPDT (ON)-OFF-(ON) momentary toggle, 12 mm bushing</t>
  </si>
  <si>
    <t xml:space="preserve">Hold-to-run FLT / BRD (CREW POS); relays carry the motor current. Check bushing/hole size | Listing: "Joinfworld Momentary Toggle Switch 12V DC 3 Way 30 Amp DPDT 6 Pin (ON)-Off-(ON) Waterproof Marine To"</t>
  </si>
  <si>
    <t xml:space="preserve">CMD_B hold-to-run</t>
  </si>
  <si>
    <t xml:space="preserve">https://www.amazon.ca/dp/B0C22K75FZ</t>
  </si>
  <si>
    <t xml:space="preserve">https://www.amazon.ca/s?k=dpdt+momentary+toggle+on+off+on</t>
  </si>
  <si>
    <t xml:space="preserve">12 V 30/40 A automotive relays SPDT 5-pin, 10 pcs</t>
  </si>
  <si>
    <t xml:space="preserve">5 needed: 4 as two H-bridges (cradle: 2 actuators in parallel; pod: the single actuator) + 1 for the key. Add relay sockets/harnesses | Listing: "10 Pcs 5-Pin Automotive Relays, 12V 30/40 A SPDT Relays, Electrical Relays Switch for Truck Marine B"</t>
  </si>
  <si>
    <t xml:space="preserve">Motor switching</t>
  </si>
  <si>
    <t xml:space="preserve">https://www.amazon.ca/dp/B0DNJVMMF9</t>
  </si>
  <si>
    <t xml:space="preserve">https://www.amazon.ca/s?k=12v+30a+relay+spdt+5+pin</t>
  </si>
  <si>
    <t xml:space="preserve">V-15 roller-lever micro switches 15 A, 10 pcs</t>
  </si>
  <si>
    <t xml:space="preserve">10 needed (8 motor-path limit/lock switches: CRADLE_UPRIGHT, CRADLE_RECLINED x2, ONE pod limit set POD_UP + POD_DOWN on the left/driven cheek only, POD_UP_LOCKED x2, lever switch; + 2 READ contacts) + printed limit_switch_mount; 2nd pack = spares | Listing: "10pcs Micro Switches V-156-1C25 15A 125/250VAC Hinge Roller Lever Switch"</t>
  </si>
  <si>
    <t xml:space="preserve">Limit + lock switches</t>
  </si>
  <si>
    <t xml:space="preserve">https://www.amazon.ca/dp/B0F8HJ4V9J</t>
  </si>
  <si>
    <t xml:space="preserve">https://www.amazon.ca/s?k=v-156-1c25+roller+lever+micro+switch+15a</t>
  </si>
  <si>
    <t xml:space="preserve">6A10 rectifier diodes (6 A, 1000 V), 20 pcs</t>
  </si>
  <si>
    <t xml:space="preserve">8 needed across the motor-path limit switches (frame BOM says 1N5408 3 A; 6A10 per electronics README is the stronger choice) | Listing: "(Pack of 20 Pieces) Chanzon 6A10 Rectifier Diode 6A 1000V R-6 Axial 6 Amp 1000 Volt Electronic Silic"</t>
  </si>
  <si>
    <t xml:space="preserve">Limit switch drive-back diodes</t>
  </si>
  <si>
    <t xml:space="preserve">https://www.amazon.ca/dp/B079KF3VJG</t>
  </si>
  <si>
    <t xml:space="preserve">https://www.amazon.ca/s?k=6a10+diode</t>
  </si>
  <si>
    <t xml:space="preserve">Pressure-sensitive safety edge (NC), ~900 mm, with mounting profile</t>
  </si>
  <si>
    <t xml:space="preserve">Along the pod chin, in series with "pod DOWN". Not found on amazon.ca - industrial / gate-operator supplier; price is a placeholder</t>
  </si>
  <si>
    <t xml:space="preserve">Pod pinch protection</t>
  </si>
  <si>
    <t xml:space="preserve">Industrial supplier</t>
  </si>
  <si>
    <t xml:space="preserve">https://www.amazon.ca/s?k=pressure+sensitive+safety+edge+NC</t>
  </si>
  <si>
    <t xml:space="preserve">14 AWG red/black 2-conductor wire, 15 m (50 ft)</t>
  </si>
  <si>
    <t xml:space="preserve">20 m needed -&gt; 2 rolls. Use pure copper (not CCA) for motor current | Listing: "14 Gauge Electrical Wire 50FT, 14 AWG 2 Pin Red and Black Cable 12V"</t>
  </si>
  <si>
    <t xml:space="preserve">Actuator power path</t>
  </si>
  <si>
    <t xml:space="preserve">https://www.amazon.ca/dp/B0CXY76JGX</t>
  </si>
  <si>
    <t xml:space="preserve">https://www.amazon.ca/s?k=14+awg+red+black+copper+wire+50+ft</t>
  </si>
  <si>
    <t xml:space="preserve">Heat-shrink ring terminal kit, 260 pcs (22-10 AWG)</t>
  </si>
  <si>
    <t xml:space="preserve">Plus heat shrink; printed cable clips | Listing: "260PCS Heat Shrink Ring Connectors with Thicker Red Copper, AWG22-10 Waterproof Electrical Terminals"</t>
  </si>
  <si>
    <t xml:space="preserve">Interlock wiring</t>
  </si>
  <si>
    <t xml:space="preserve">https://www.amazon.ca/dp/B0B569WMNP</t>
  </si>
  <si>
    <t xml:space="preserve">https://www.amazon.ca/s?k=heat+shrink+ring+terminal+kit</t>
  </si>
  <si>
    <t xml:space="preserve">Motion system: guards</t>
  </si>
  <si>
    <t xml:space="preserve">Strip brush 25 mm in aluminium holder, ~5 m</t>
  </si>
  <si>
    <t xml:space="preserve">4 m for the cheek slots (2 edges each) + 1 m for the nose-box actuator slots. Not found as a good match on amazon.ca; placeholder price</t>
  </si>
  <si>
    <t xml:space="preserve">Slot guards</t>
  </si>
  <si>
    <t xml:space="preserve">https://www.amazon.ca/s?k=strip+brush+aluminum+holder+25mm</t>
  </si>
  <si>
    <t xml:space="preserve">High-density foam 25 mm (1") x 610 x 1830 mm</t>
  </si>
  <si>
    <t xml:space="preserve">Pod chin (behind the safety edge) and pod lower edges; cover with the vinyl below | Listing: "FoamTouch High Density Upholstery Foam (1" x 24" x 72"), 1.79LB Density-45LB ILD, Made in USA – Idea"</t>
  </si>
  <si>
    <t xml:space="preserve">Pod edge padding</t>
  </si>
  <si>
    <t xml:space="preserve">https://www.amazon.ca/dp/B0DQXC46NQ</t>
  </si>
  <si>
    <t xml:space="preserve">https://www.amazon.ca/s?k=high+density+foam+1+inch+24+x+72</t>
  </si>
  <si>
    <t xml:space="preserve">Seats &amp; harnesses</t>
  </si>
  <si>
    <t xml:space="preserve">Buckle kit: 25 mm side-release buckles + 9 m webbing (REDAPRIC)</t>
  </si>
  <si>
    <t xml:space="preserve">REQUIRED LINK per design. WARNING: plastic (POM) luggage/backpack buckles, seller quotes ~50-136 kg breaking load, NOT safety-rated. Positioning harness only (see docs/mechanical/README.md safety note). Use the kit webbing for nothing structural. 2 kid seats x 4 buckles = 8 of 10. No featured offer on 2026-10-08 (other sellers only): price is a placeholder | Listing: "1 Inch 10 Yards Nylon Webbing Strap Kit with 10 Quick Release Side Buckles &amp; 20 Tri-Glide Slides, No"</t>
  </si>
  <si>
    <t xml:space="preserve">Kid 4-point harness + printed harness_hub</t>
  </si>
  <si>
    <t xml:space="preserve">https://www.amazon.ca/dp/B0B3J1GCVQ</t>
  </si>
  <si>
    <t xml:space="preserve">https://www.amazon.ca/s?k=1+inch+side+release+buckle+kit</t>
  </si>
  <si>
    <t xml:space="preserve">Link verified; price NOT shown (placeholder estimate)</t>
  </si>
  <si>
    <t xml:space="preserve">Rated 25 mm (1") webbing, &gt;= 700 kg</t>
  </si>
  <si>
    <t xml:space="preserve">BOM asks polyester &gt;= 700 kg; this is 1" nylon tubular climbing webbing Listing: UIAA/CE certified, 17.8 kN (4000 lb). Choose the 10 yd length variant | Listing: "NewDoar 1 Inch Nylon Webbing Strap/Tubular Climbing Webbing - Heavy Duty Strap for Rescue, Climbing,"</t>
  </si>
  <si>
    <t xml:space="preserve">Kid harness straps (sewn bar-tack loops)</t>
  </si>
  <si>
    <t xml:space="preserve">https://www.amazon.ca/dp/B0B7RHCFMV</t>
  </si>
  <si>
    <t xml:space="preserve">https://www.amazon.ca/s?k=1+inch+rated+webbing+4000+lb+polyester</t>
  </si>
  <si>
    <t xml:space="preserve">Welded steel O-rings 50 mm (2") OD</t>
  </si>
  <si>
    <t xml:space="preserve">Listing: 50 mm ID, 5 mm wire, 304 stainless, 6-pack, NOT load-rated (BOM asks 50 mm OD, 6 mm wire, rated - a rated welded ring from a rigging supplier is better) | Listing: "BEYOURD 2 inch Metal O Rings, Stainless Steel Round Ring Buckles, Solid Welded Metal Loop for Dog Co"</t>
  </si>
  <si>
    <t xml:space="preserve">Harness hub load ring (2 needed)</t>
  </si>
  <si>
    <t xml:space="preserve">https://www.amazon.ca/dp/B0D781P6JB</t>
  </si>
  <si>
    <t xml:space="preserve">https://www.amazon.ca/s?k=welded+steel+o+ring+2+inch+heavy+duty</t>
  </si>
  <si>
    <t xml:space="preserve">Welded steel D-rings 25 mm (1")</t>
  </si>
  <si>
    <t xml:space="preserve">Optional - you asked for D-rings; frame BOM v0.2 only uses the O-ring. Useful as strap adjust/anchor points | Listing: "BEYOURD Metal D Rings, Heavy Duty 304 Stainless Steel Welded Dee Rings"</t>
  </si>
  <si>
    <t xml:space="preserve">Harness adjusters (optional)</t>
  </si>
  <si>
    <t xml:space="preserve">https://www.amazon.ca/dp/B0CS9SL864</t>
  </si>
  <si>
    <t xml:space="preserve">https://www.amazon.ca/s?k=welded+steel+d+ring+1+inch</t>
  </si>
  <si>
    <t xml:space="preserve">3/8" (M10) forged eye bolts + fender washers + nylocks</t>
  </si>
  <si>
    <t xml:space="preserve">Forged, not bent-wire. Anchors THROUGH the cradle rails / seat-back frames, never plywood alone</t>
  </si>
  <si>
    <t xml:space="preserve">Harness anchors</t>
  </si>
  <si>
    <t xml:space="preserve">https://kent.ca/en/search?q=forged+eye+bolt+3%2F8</t>
  </si>
  <si>
    <t xml:space="preserve">2-point adjustable lap belt</t>
  </si>
  <si>
    <t xml:space="preserve">Dad: fixed seat, no recline | Listing: "Universal 2 Point Seat Belt - Adjustable Lap Replacement for Most Cars, Strap with Buckle, Safety Ca"</t>
  </si>
  <si>
    <t xml:space="preserve">Commander seat</t>
  </si>
  <si>
    <t xml:space="preserve">https://www.amazon.ca/dp/B0BFPZ5ZGW</t>
  </si>
  <si>
    <t xml:space="preserve">https://www.amazon.ca/s?k=2+point+lap+belt+adjustable</t>
  </si>
  <si>
    <t xml:space="preserve">High-density upholstery foam 50 mm (2") x 610 x 1830 mm</t>
  </si>
  <si>
    <t xml:space="preserve">Cushions: kids 340 x 380, dad 520 x 480; offcut stacked as the 60-80 mm booster for the 6 yr | Listing: "AK TRADING CO. AK-Trading Upholstery High Density 2" Height x 24" Width x 72" Length-Home or Commerc"</t>
  </si>
  <si>
    <t xml:space="preserve">Seat cushions</t>
  </si>
  <si>
    <t xml:space="preserve">https://www.amazon.ca/dp/B078SJ86G7</t>
  </si>
  <si>
    <t xml:space="preserve">https://www.amazon.ca/s?k=high+density+foam+2+inch+24+x+72</t>
  </si>
  <si>
    <t xml:space="preserve">Marine vinyl, black, 1.5 m x 1.37 m (5 ft x 54")</t>
  </si>
  <si>
    <t xml:space="preserve">Covers for 3 cushions + pod chin foam | Listing: "VViViD Black Weatherproof Faux Leather Finish Marine Vinyl Fabric - 5ft x 54 Inch"</t>
  </si>
  <si>
    <t xml:space="preserve">Upholstery</t>
  </si>
  <si>
    <t xml:space="preserve">https://www.amazon.ca/dp/B0744QFFS8</t>
  </si>
  <si>
    <t xml:space="preserve">https://www.amazon.ca/s?k=marine+vinyl+fabric+black</t>
  </si>
  <si>
    <t xml:space="preserve">Seats &amp; harnesses - ALTERNATIVE (not in totals)</t>
  </si>
  <si>
    <t xml:space="preserve">ALTERNATIVE: complete 4-point harness, 50 mm (2") straps, metal buckle</t>
  </si>
  <si>
    <t xml:space="preserve">Instead of the DIY buckle-kit harness: a bought go-kart/sim 4-point harness with metal latch (frame BOM v0.1 recommendation). Check it fits a kid (6-12 yr) torso. Excluded from Grand total and Amazon cart | Listing: "RASTP 4 Point Racing Safety Harness Set with 2" Straps for Racing Seat&amp;Go Kart Seat,Dark Red(Pack of"</t>
  </si>
  <si>
    <t xml:space="preserve">Kid seats (instead of buckle kit + webbing + O-rings)</t>
  </si>
  <si>
    <t xml:space="preserve">https://www.amazon.ca/dp/B08TB7NLJB</t>
  </si>
  <si>
    <t xml:space="preserve">https://www.amazon.ca/s?k=4+point+harness+metal+buckle+2+inch</t>
  </si>
  <si>
    <t xml:space="preserve">Lines</t>
  </si>
  <si>
    <t xml:space="preserve">Lines still to buy</t>
  </si>
  <si>
    <t xml:space="preserve">Total to buy CAD</t>
  </si>
  <si>
    <t xml:space="preserve">GRAND TOTAL to buy (excl. ALTERNATIVE rows)</t>
  </si>
  <si>
    <t xml:space="preserve">  of which Amazon.ca</t>
  </si>
  <si>
    <t xml:space="preserve">  of which Kent / Home Depot</t>
  </si>
  <si>
    <t xml:space="preserve">  of which local / industrial suppliers</t>
  </si>
  <si>
    <t xml:space="preserve">  of which based on VERIFIED prices (amazon.ca / kent.ca)</t>
  </si>
  <si>
    <t xml:space="preserve">  of which ESTIMATES / placeholders</t>
  </si>
  <si>
    <t xml:space="preserve">ALTERNATIVE rated harness option (if chosen)</t>
  </si>
  <si>
    <t xml:space="preserve">Totals update automatically when you change "Have it" on the BOM sheet (TRUE = already owned -&gt; Qty to buy 0).</t>
  </si>
  <si>
    <t xml:space="preserve">Prices are before tax/shipping (NB HST 15 %). Amazon prices change daily; dates are in the BOM sheet.</t>
  </si>
  <si>
    <t xml:space="preserve">#</t>
  </si>
  <si>
    <t xml:space="preserve">Lists only Amazon.ca rows with Qty to buy &gt; 0 (alternatives excluded). Built with INDEX/MATCH on a hidden helper column (BOM!O) so it works in every LibreOffice and Excel version (FILTER needs LO 24.8+/Excel 365). Updates when Have it changes.</t>
  </si>
  <si>
    <t xml:space="preserve">Amazon cart total</t>
  </si>
  <si>
    <t xml:space="preserve">The Filament Falcon - BOM notes (built 2026-10-09, Atlantic time ADT/AST; location Fredericton, NB)</t>
  </si>
  <si>
    <t xml:space="preserve">Sources: filament-falcon/docs/SPEC.md; ff-fw/docs/electronics/README.md; filament-falcon (branch pod-single, frame v0.3 single pod actuator): frame/BOM.md v0.3, frame/cut_list.md, docs/mechanical/README.md, switch_bom.md, displays.md.</t>
  </si>
  <si>
    <t xml:space="preserve">Filament method: python trimesh volume V and surface area A of every 3MF (panels: single-material body = black, letter inserts = white; printed parts x quantities from docs/mechanical/README.md). Printed volume = shell + infill x (V - shell), shell = min(V, A x 1.2 mm) (3 perimeters x 0.4 mm, also used as top/bottom skin proxy); infill 25 % (monitor standoffs 50 %, harness hub 45 %). PETG 1.27 g/cm3, +15 % for purge/brim/failed prints.</t>
  </si>
  <si>
    <t xml:space="preserve">Filament result: black 3601 cm3 -&gt; 5.26 kg (buy 6 x 1 kg); white 44 cm3 -&gt; 0.06 kg (buy 1 x 1 kg). Red/grey parts (guard lids, throttle grip, gear arm, adapter plates) are counted in black - print them in red/grey if you have it. PLA would need ~2 % less mass, but PETG is required for the harness hub and recommended everywhere.</t>
  </si>
  <si>
    <t xml:space="preserve">Prices: "Verified amazon.ca price" = read from the amazon.ca product page on 2026-10-08 (buy-box price, CAD, before tax). Kent prices were read from kent.ca on 2026-10-09 with the Fredericton store selected (Fredericton South, 809 Bishop Dr, and Fredericton North, 25 Two Nations Crossing showed identical prices); they can change, check before buying. Local metal-supplier rows have Google search links for Fredericton NB. Rows marked Estimate/placeholder are NOT verified prices.</t>
  </si>
  <si>
    <t xml:space="preserve">Motion system (v0.3, branch pod-single): 2 cradle actuators 10"/1500 N (~364 mm retracted, self-locking); ONE pod actuator 12"/1500 N self-locking (420 mm retracted, left casing) driving both pod cheeks through a 2x2x1/8" steel torque tube; 2 gas struts ~1050 N with M8 eye ends, sized so the pod is lift-biased (actuator or clevis-pin failure sends it UP, never down); 25 mm shafts, UCP205/UCF205/SHF25; spring pawls + latch plates + Bowden release; steel hard stops; key, E-stop, 20 A fuse, hold-to-run DPDT, relays as 2 H-bridges, one pod limit set (left cheek), roller limit switches, safety edge. Check actuator retracted length and self-locking before ordering.</t>
  </si>
  <si>
    <t xml:space="preserve">SAFETY: the B0B3J1GCVQ buckles are plastic luggage buckles (~50 kg quoted break load, not safety-rated). Positioning harness only for a slow reclining seat. A rated metal-buckle 4-point harness is listed as an ALTERNATIVE row (excluded from totals; switch if you prefer).</t>
  </si>
  <si>
    <t xml:space="preserve">Displays: GPU DP1 -&gt; C275B, HDMI -&gt; C275W (HDMI/VGA only), DP2 -&gt; DP-to-DVI-D -&gt; TD2220 (VGA/DVI only), USB-A -&gt; USB-B for touch. GPU USB-C is spare (4th display max).</t>
  </si>
  <si>
    <t xml:space="preserve">Owned items: PC, both Sceptres, TD2220, 3 HY300, 2 joysticks have Have it = TRUE. Buttons/switches/LEDs you may own are FALSE - tick them.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</si>
</sst>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2"/>
      <color theme="10"/>
      <name val="Calibri"/>
      <family val="2"/>
      <charset val="1"/>
    </font>
    <font>
      <sz val="11"/>
      <color theme="1"/>
      <name val="Noto Sans CJK SC"/>
      <family val="2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mazon.ca/dp/B0BRPZHK36" TargetMode="External"/><Relationship Id="rId2" Type="http://schemas.openxmlformats.org/officeDocument/2006/relationships/hyperlink" Target="https://www.amazon.ca/s?k=displayport+1.4+cable+10+ft" TargetMode="External"/><Relationship Id="rId3" Type="http://schemas.openxmlformats.org/officeDocument/2006/relationships/hyperlink" Target="https://www.amazon.ca/dp/B014I8T0YQ" TargetMode="External"/><Relationship Id="rId4" Type="http://schemas.openxmlformats.org/officeDocument/2006/relationships/hyperlink" Target="https://www.amazon.ca/s?k=hdmi+cable+10+ft" TargetMode="External"/><Relationship Id="rId5" Type="http://schemas.openxmlformats.org/officeDocument/2006/relationships/hyperlink" Target="https://www.amazon.ca/dp/B06WD33P34" TargetMode="External"/><Relationship Id="rId6" Type="http://schemas.openxmlformats.org/officeDocument/2006/relationships/hyperlink" Target="https://www.amazon.ca/s?k=displayport+to+dvi-d+cable+10+ft" TargetMode="External"/><Relationship Id="rId7" Type="http://schemas.openxmlformats.org/officeDocument/2006/relationships/hyperlink" Target="https://www.amazon.ca/dp/B07ZRBRDHG" TargetMode="External"/><Relationship Id="rId8" Type="http://schemas.openxmlformats.org/officeDocument/2006/relationships/hyperlink" Target="https://www.amazon.ca/s?k=usb+a+to+usb+b+cable+10+ft" TargetMode="External"/><Relationship Id="rId9" Type="http://schemas.openxmlformats.org/officeDocument/2006/relationships/hyperlink" Target="https://www.amazon.ca/dp/B0CLZ9J2F5" TargetMode="External"/><Relationship Id="rId10" Type="http://schemas.openxmlformats.org/officeDocument/2006/relationships/hyperlink" Target="https://www.amazon.ca/s?k=usb+a+to+usb+c+data+cable+6+ft+3+pack" TargetMode="External"/><Relationship Id="rId11" Type="http://schemas.openxmlformats.org/officeDocument/2006/relationships/hyperlink" Target="https://www.amazon.ca/dp/B00SCX6I8A" TargetMode="External"/><Relationship Id="rId12" Type="http://schemas.openxmlformats.org/officeDocument/2006/relationships/hyperlink" Target="https://www.amazon.ca/s?k=powered+usb+3.0+hub+7+port" TargetMode="External"/><Relationship Id="rId13" Type="http://schemas.openxmlformats.org/officeDocument/2006/relationships/hyperlink" Target="https://www.amazon.ca/dp/B073YLYBJF" TargetMode="External"/><Relationship Id="rId14" Type="http://schemas.openxmlformats.org/officeDocument/2006/relationships/hyperlink" Target="https://www.amazon.ca/s?k=braided+cable+sleeve+1+inch+25+ft" TargetMode="External"/><Relationship Id="rId15" Type="http://schemas.openxmlformats.org/officeDocument/2006/relationships/hyperlink" Target="https://www.amazon.ca/dp/B0D93FLZLH" TargetMode="External"/><Relationship Id="rId16" Type="http://schemas.openxmlformats.org/officeDocument/2006/relationships/hyperlink" Target="https://www.amazon.ca/s?k=ESP32-S3-DevKitC-1+N8R8" TargetMode="External"/><Relationship Id="rId17" Type="http://schemas.openxmlformats.org/officeDocument/2006/relationships/hyperlink" Target="https://www.amazon.ca/dp/B0D2THXFQ6" TargetMode="External"/><Relationship Id="rId18" Type="http://schemas.openxmlformats.org/officeDocument/2006/relationships/hyperlink" Target="https://www.amazon.ca/s?k=SN74HC165N+DIP-16" TargetMode="External"/><Relationship Id="rId19" Type="http://schemas.openxmlformats.org/officeDocument/2006/relationships/hyperlink" Target="https://www.amazon.ca/dp/B01GOLSUAU" TargetMode="External"/><Relationship Id="rId20" Type="http://schemas.openxmlformats.org/officeDocument/2006/relationships/hyperlink" Target="https://www.amazon.ca/s?k=dip+ic+socket+assortment" TargetMode="External"/><Relationship Id="rId21" Type="http://schemas.openxmlformats.org/officeDocument/2006/relationships/hyperlink" Target="https://www.amazon.ca/dp/B0D4BXJ1SX" TargetMode="External"/><Relationship Id="rId22" Type="http://schemas.openxmlformats.org/officeDocument/2006/relationships/hyperlink" Target="https://www.amazon.ca/s?k=10k+bussed+resistor+network+sip+9+A103J" TargetMode="External"/><Relationship Id="rId23" Type="http://schemas.openxmlformats.org/officeDocument/2006/relationships/hyperlink" Target="https://www.amazon.ca/dp/B09JWTW1GT" TargetMode="External"/><Relationship Id="rId24" Type="http://schemas.openxmlformats.org/officeDocument/2006/relationships/hyperlink" Target="https://www.amazon.ca/s?k=100nf+ceramic+capacitor+104+100pcs" TargetMode="External"/><Relationship Id="rId25" Type="http://schemas.openxmlformats.org/officeDocument/2006/relationships/hyperlink" Target="https://www.amazon.ca/dp/B07KC99W2K" TargetMode="External"/><Relationship Id="rId26" Type="http://schemas.openxmlformats.org/officeDocument/2006/relationships/hyperlink" Target="https://www.amazon.ca/s?k=electrolytic+capacitor+assortment+1000uf" TargetMode="External"/><Relationship Id="rId27" Type="http://schemas.openxmlformats.org/officeDocument/2006/relationships/hyperlink" Target="https://www.amazon.ca/dp/B0C6FNV224" TargetMode="External"/><Relationship Id="rId28" Type="http://schemas.openxmlformats.org/officeDocument/2006/relationships/hyperlink" Target="https://www.amazon.ca/s?k=74AHCT125N+DIP-14" TargetMode="External"/><Relationship Id="rId29" Type="http://schemas.openxmlformats.org/officeDocument/2006/relationships/hyperlink" Target="https://www.amazon.ca/dp/B07P3MFG5D" TargetMode="External"/><Relationship Id="rId30" Type="http://schemas.openxmlformats.org/officeDocument/2006/relationships/hyperlink" Target="https://www.amazon.ca/s?k=resistor+assortment+kit+1%2F4w+metal+film" TargetMode="External"/><Relationship Id="rId31" Type="http://schemas.openxmlformats.org/officeDocument/2006/relationships/hyperlink" Target="https://www.amazon.ca/dp/B0185FKB2S" TargetMode="External"/><Relationship Id="rId32" Type="http://schemas.openxmlformats.org/officeDocument/2006/relationships/hyperlink" Target="https://www.amazon.ca/s?k=2.2k+ohm+1%2F2w+resistor" TargetMode="External"/><Relationship Id="rId33" Type="http://schemas.openxmlformats.org/officeDocument/2006/relationships/hyperlink" Target="https://www.amazon.ca/dp/B01JG8EJVW" TargetMode="External"/><Relationship Id="rId34" Type="http://schemas.openxmlformats.org/officeDocument/2006/relationships/hyperlink" Target="https://www.amazon.ca/s?k=pc817+optocoupler+dip" TargetMode="External"/><Relationship Id="rId35" Type="http://schemas.openxmlformats.org/officeDocument/2006/relationships/hyperlink" Target="https://www.amazon.ca/dp/B07GJ788H4" TargetMode="External"/><Relationship Id="rId36" Type="http://schemas.openxmlformats.org/officeDocument/2006/relationships/hyperlink" Target="https://www.amazon.ca/s?k=perfboard+7x9+cm" TargetMode="External"/><Relationship Id="rId37" Type="http://schemas.openxmlformats.org/officeDocument/2006/relationships/hyperlink" Target="https://www.amazon.ca/dp/B01GY36RJY" TargetMode="External"/><Relationship Id="rId38" Type="http://schemas.openxmlformats.org/officeDocument/2006/relationships/hyperlink" Target="https://www.amazon.ca/s?k=2.54mm+male+female+pin+header+kit" TargetMode="External"/><Relationship Id="rId39" Type="http://schemas.openxmlformats.org/officeDocument/2006/relationships/hyperlink" Target="https://www.amazon.ca/dp/B08G18PWQ6" TargetMode="External"/><Relationship Id="rId40" Type="http://schemas.openxmlformats.org/officeDocument/2006/relationships/hyperlink" Target="https://www.amazon.ca/s?k=jst+xh+connector+kit+pre+crimped" TargetMode="External"/><Relationship Id="rId41" Type="http://schemas.openxmlformats.org/officeDocument/2006/relationships/hyperlink" Target="https://www.amazon.ca/dp/B01EV70C78" TargetMode="External"/><Relationship Id="rId42" Type="http://schemas.openxmlformats.org/officeDocument/2006/relationships/hyperlink" Target="https://www.amazon.ca/s?k=dupont+jumper+wires" TargetMode="External"/><Relationship Id="rId43" Type="http://schemas.openxmlformats.org/officeDocument/2006/relationships/hyperlink" Target="https://www.amazon.ca/dp/B007NZGPAY" TargetMode="External"/><Relationship Id="rId44" Type="http://schemas.openxmlformats.org/officeDocument/2006/relationships/hyperlink" Target="https://www.amazon.ca/s?k=cat6+patch+cable+25+ft" TargetMode="External"/><Relationship Id="rId45" Type="http://schemas.openxmlformats.org/officeDocument/2006/relationships/hyperlink" Target="https://www.amazon.ca/dp/B089CQHRDT" TargetMode="External"/><Relationship Id="rId46" Type="http://schemas.openxmlformats.org/officeDocument/2006/relationships/hyperlink" Target="https://www.amazon.ca/s?k=22+awg+stranded+hookup+wire+kit" TargetMode="External"/><Relationship Id="rId47" Type="http://schemas.openxmlformats.org/officeDocument/2006/relationships/hyperlink" Target="https://www.amazon.ca/dp/B0CX9FDTJ8" TargetMode="External"/><Relationship Id="rId48" Type="http://schemas.openxmlformats.org/officeDocument/2006/relationships/hyperlink" Target="https://www.amazon.ca/s?k=mts-102+mini+toggle+switch+6mm" TargetMode="External"/><Relationship Id="rId49" Type="http://schemas.openxmlformats.org/officeDocument/2006/relationships/hyperlink" Target="https://www.amazon.ca/dp/B0D47RXXMK" TargetMode="External"/><Relationship Id="rId50" Type="http://schemas.openxmlformats.org/officeDocument/2006/relationships/hyperlink" Target="https://www.amazon.ca/s?k=mts-103+on-off-on+mini+toggle" TargetMode="External"/><Relationship Id="rId51" Type="http://schemas.openxmlformats.org/officeDocument/2006/relationships/hyperlink" Target="https://www.amazon.ca/dp/B09F39MBKD" TargetMode="External"/><Relationship Id="rId52" Type="http://schemas.openxmlformats.org/officeDocument/2006/relationships/hyperlink" Target="https://www.amazon.ca/s?k=22mm+momentary+push+button" TargetMode="External"/><Relationship Id="rId53" Type="http://schemas.openxmlformats.org/officeDocument/2006/relationships/hyperlink" Target="https://www.amazon.ca/dp/B0GGYZJFHD" TargetMode="External"/><Relationship Id="rId54" Type="http://schemas.openxmlformats.org/officeDocument/2006/relationships/hyperlink" Target="https://www.amazon.ca/s?k=19mm+momentary+push+button+metal" TargetMode="External"/><Relationship Id="rId55" Type="http://schemas.openxmlformats.org/officeDocument/2006/relationships/hyperlink" Target="https://www.amazon.ca/dp/B081JJBN4G" TargetMode="External"/><Relationship Id="rId56" Type="http://schemas.openxmlformats.org/officeDocument/2006/relationships/hyperlink" Target="https://www.amazon.ca/s?k=16mm+momentary+push+button+metal" TargetMode="External"/><Relationship Id="rId57" Type="http://schemas.openxmlformats.org/officeDocument/2006/relationships/hyperlink" Target="https://www.amazon.ca/dp/B07VCNNV88" TargetMode="External"/><Relationship Id="rId58" Type="http://schemas.openxmlformats.org/officeDocument/2006/relationships/hyperlink" Target="https://www.amazon.ca/s?k=ec11+rotary+encoder+with+knob" TargetMode="External"/><Relationship Id="rId59" Type="http://schemas.openxmlformats.org/officeDocument/2006/relationships/hyperlink" Target="https://www.amazon.ca/dp/B0CLP8SVJN" TargetMode="External"/><Relationship Id="rId60" Type="http://schemas.openxmlformats.org/officeDocument/2006/relationships/hyperlink" Target="https://www.amazon.ca/s?k=b10k+linear+potentiometer+6mm+d+shaft" TargetMode="External"/><Relationship Id="rId61" Type="http://schemas.openxmlformats.org/officeDocument/2006/relationships/hyperlink" Target="https://www.amazon.ca/dp/B0F9XYYSPZ" TargetMode="External"/><Relationship Id="rId62" Type="http://schemas.openxmlformats.org/officeDocument/2006/relationships/hyperlink" Target="https://www.amazon.ca/s?k=kw11+micro+switch+lever" TargetMode="External"/><Relationship Id="rId63" Type="http://schemas.openxmlformats.org/officeDocument/2006/relationships/hyperlink" Target="https://www.amazon.ca/dp/B09M849WCK" TargetMode="External"/><Relationship Id="rId64" Type="http://schemas.openxmlformats.org/officeDocument/2006/relationships/hyperlink" Target="https://www.amazon.ca/s?k=19mm+key+switch+2+position" TargetMode="External"/><Relationship Id="rId65" Type="http://schemas.openxmlformats.org/officeDocument/2006/relationships/hyperlink" Target="https://www.amazon.ca/dp/B0F8VDHK22" TargetMode="External"/><Relationship Id="rId66" Type="http://schemas.openxmlformats.org/officeDocument/2006/relationships/hyperlink" Target="https://www.amazon.ca/s?k=ws2812b+5m+60+led+ip30" TargetMode="External"/><Relationship Id="rId67" Type="http://schemas.openxmlformats.org/officeDocument/2006/relationships/hyperlink" Target="https://www.amazon.ca/s?k=WS2812D-F5+5mm+addressable+RGB+LED" TargetMode="External"/><Relationship Id="rId68" Type="http://schemas.openxmlformats.org/officeDocument/2006/relationships/hyperlink" Target="https://www.amazon.ca/dp/B0DJR583BY" TargetMode="External"/><Relationship Id="rId69" Type="http://schemas.openxmlformats.org/officeDocument/2006/relationships/hyperlink" Target="https://www.amazon.ca/s?k=5mm+led+holder+bezel" TargetMode="External"/><Relationship Id="rId70" Type="http://schemas.openxmlformats.org/officeDocument/2006/relationships/hyperlink" Target="https://www.amazon.ca/dp/B019GYOCMM" TargetMode="External"/><Relationship Id="rId71" Type="http://schemas.openxmlformats.org/officeDocument/2006/relationships/hyperlink" Target="https://www.amazon.ca/s?k=mean+well+lrs-50-5" TargetMode="External"/><Relationship Id="rId72" Type="http://schemas.openxmlformats.org/officeDocument/2006/relationships/hyperlink" Target="https://www.amazon.ca/dp/B07X8WL5TC" TargetMode="External"/><Relationship Id="rId73" Type="http://schemas.openxmlformats.org/officeDocument/2006/relationships/hyperlink" Target="https://www.amazon.ca/s?k=inline+fuse+holder+5x20+kit" TargetMode="External"/><Relationship Id="rId74" Type="http://schemas.openxmlformats.org/officeDocument/2006/relationships/hyperlink" Target="https://www.amazon.ca/dp/B0CNRTZ4N3" TargetMode="External"/><Relationship Id="rId75" Type="http://schemas.openxmlformats.org/officeDocument/2006/relationships/hyperlink" Target="https://www.amazon.ca/s?k=16+awg+red+black+wire+copper" TargetMode="External"/><Relationship Id="rId76" Type="http://schemas.openxmlformats.org/officeDocument/2006/relationships/hyperlink" Target="https://www.amazon.ca/dp/B07HGTKQ89" TargetMode="External"/><Relationship Id="rId77" Type="http://schemas.openxmlformats.org/officeDocument/2006/relationships/hyperlink" Target="https://www.amazon.ca/s?k=18+awg+red+black+silicone+wire" TargetMode="External"/><Relationship Id="rId78" Type="http://schemas.openxmlformats.org/officeDocument/2006/relationships/hyperlink" Target="https://www.amazon.ca/dp/B0CP94DL4F" TargetMode="External"/><Relationship Id="rId79" Type="http://schemas.openxmlformats.org/officeDocument/2006/relationships/hyperlink" Target="https://www.amazon.ca/s?k=jst+sm+3+pin+connector+ws2812" TargetMode="External"/><Relationship Id="rId80" Type="http://schemas.openxmlformats.org/officeDocument/2006/relationships/hyperlink" Target="https://www.amazon.ca/dp/B0D41Y3WWZ" TargetMode="External"/><Relationship Id="rId81" Type="http://schemas.openxmlformats.org/officeDocument/2006/relationships/hyperlink" Target="https://www.amazon.ca/s?k=petg+filament+1.75+black+1kg" TargetMode="External"/><Relationship Id="rId82" Type="http://schemas.openxmlformats.org/officeDocument/2006/relationships/hyperlink" Target="https://www.amazon.ca/dp/B0CMC78XKT" TargetMode="External"/><Relationship Id="rId83" Type="http://schemas.openxmlformats.org/officeDocument/2006/relationships/hyperlink" Target="https://www.amazon.ca/s?k=petg+filament+1.75+white+1kg" TargetMode="External"/><Relationship Id="rId84" Type="http://schemas.openxmlformats.org/officeDocument/2006/relationships/hyperlink" Target="https://www.amazon.ca/dp/B0CNRSJ1B2" TargetMode="External"/><Relationship Id="rId85" Type="http://schemas.openxmlformats.org/officeDocument/2006/relationships/hyperlink" Target="https://www.amazon.ca/s?k=heat+set+inserts+kit+m3+m4" TargetMode="External"/><Relationship Id="rId86" Type="http://schemas.openxmlformats.org/officeDocument/2006/relationships/hyperlink" Target="https://www.amazon.ca/dp/B0C38YFL3D" TargetMode="External"/><Relationship Id="rId87" Type="http://schemas.openxmlformats.org/officeDocument/2006/relationships/hyperlink" Target="https://www.amazon.ca/s?k=m2+m3+m4+m5+socket+head+screw+assortment" TargetMode="External"/><Relationship Id="rId88" Type="http://schemas.openxmlformats.org/officeDocument/2006/relationships/hyperlink" Target="https://www.amazon.ca/dp/B09CT54JJZ" TargetMode="External"/><Relationship Id="rId89" Type="http://schemas.openxmlformats.org/officeDocument/2006/relationships/hyperlink" Target="https://www.amazon.ca/s?k=self+tapping+screw+assortment+m2.5+m3" TargetMode="External"/><Relationship Id="rId90" Type="http://schemas.openxmlformats.org/officeDocument/2006/relationships/hyperlink" Target="https://kent.ca/en/2-x-4-x-8-spf-stud-kiln-dried-1016318" TargetMode="External"/><Relationship Id="rId91" Type="http://schemas.openxmlformats.org/officeDocument/2006/relationships/hyperlink" Target="https://kent.ca/en/search?q=2x4x8+stud" TargetMode="External"/><Relationship Id="rId92" Type="http://schemas.openxmlformats.org/officeDocument/2006/relationships/hyperlink" Target="https://kent.ca/en/2-x-4-x-10-2-better-spf-lumber-kiln-dried-1016338" TargetMode="External"/><Relationship Id="rId93" Type="http://schemas.openxmlformats.org/officeDocument/2006/relationships/hyperlink" Target="https://kent.ca/en/search?q=2x4x10" TargetMode="External"/><Relationship Id="rId94" Type="http://schemas.openxmlformats.org/officeDocument/2006/relationships/hyperlink" Target="https://kent.ca/en/3-4-x-4-x-8-18-5mm-spruce-plywood-standard-1015824" TargetMode="External"/><Relationship Id="rId95" Type="http://schemas.openxmlformats.org/officeDocument/2006/relationships/hyperlink" Target="https://kent.ca/en/search?q=3%2F4+plywood+4x8" TargetMode="External"/><Relationship Id="rId96" Type="http://schemas.openxmlformats.org/officeDocument/2006/relationships/hyperlink" Target="https://kent.ca/en/1-2-x-4-x-8-12-5mm-spruce-plywood-standard-1015823" TargetMode="External"/><Relationship Id="rId97" Type="http://schemas.openxmlformats.org/officeDocument/2006/relationships/hyperlink" Target="https://kent.ca/en/search?q=1%2F2+plywood+4x8" TargetMode="External"/><Relationship Id="rId98" Type="http://schemas.openxmlformats.org/officeDocument/2006/relationships/hyperlink" Target="https://kent.ca/en/1-4-x-4-x-8-meranti-plywood-1015821" TargetMode="External"/><Relationship Id="rId99" Type="http://schemas.openxmlformats.org/officeDocument/2006/relationships/hyperlink" Target="https://kent.ca/en/search?q=1%2F4+hardboard+4x8" TargetMode="External"/><Relationship Id="rId100" Type="http://schemas.openxmlformats.org/officeDocument/2006/relationships/hyperlink" Target="https://kent.ca/en/search?q=construction+screws+%2310+x+3" TargetMode="External"/><Relationship Id="rId101" Type="http://schemas.openxmlformats.org/officeDocument/2006/relationships/hyperlink" Target="https://kent.ca/en/search?q=wood+screws+%238+x+1-1%2F2" TargetMode="External"/><Relationship Id="rId102" Type="http://schemas.openxmlformats.org/officeDocument/2006/relationships/hyperlink" Target="https://kent.ca/en/search?q=wood+screws+%238+x+1" TargetMode="External"/><Relationship Id="rId103" Type="http://schemas.openxmlformats.org/officeDocument/2006/relationships/hyperlink" Target="https://kent.ca/en/search?q=wood+glue+1+l" TargetMode="External"/><Relationship Id="rId104" Type="http://schemas.openxmlformats.org/officeDocument/2006/relationships/hyperlink" Target="https://www.amazon.ca/dp/B0FF4HDSK3" TargetMode="External"/><Relationship Id="rId105" Type="http://schemas.openxmlformats.org/officeDocument/2006/relationships/hyperlink" Target="https://www.amazon.ca/s?k=m5+tee+nut+4+prong+200" TargetMode="External"/><Relationship Id="rId106" Type="http://schemas.openxmlformats.org/officeDocument/2006/relationships/hyperlink" Target="https://www.amazon.ca/dp/B0FR1FQ1B7" TargetMode="External"/><Relationship Id="rId107" Type="http://schemas.openxmlformats.org/officeDocument/2006/relationships/hyperlink" Target="https://www.amazon.ca/s?k=m5+x+20+button+head+socket+screw+black" TargetMode="External"/><Relationship Id="rId108" Type="http://schemas.openxmlformats.org/officeDocument/2006/relationships/hyperlink" Target="https://www.amazon.ca/dp/B0GX28963L" TargetMode="External"/><Relationship Id="rId109" Type="http://schemas.openxmlformats.org/officeDocument/2006/relationships/hyperlink" Target="https://www.amazon.ca/s?k=m5+flat+washers+200" TargetMode="External"/><Relationship Id="rId110" Type="http://schemas.openxmlformats.org/officeDocument/2006/relationships/hyperlink" Target="https://kent.ca/en/search?q=m6+x+50+carriage+bolt" TargetMode="External"/><Relationship Id="rId111" Type="http://schemas.openxmlformats.org/officeDocument/2006/relationships/hyperlink" Target="https://www.amazon.ca/dp/B0FQP7W6J3" TargetMode="External"/><Relationship Id="rId112" Type="http://schemas.openxmlformats.org/officeDocument/2006/relationships/hyperlink" Target="https://www.amazon.ca/s?k=2mm+stainless+safety+cable+loops+12+inch" TargetMode="External"/><Relationship Id="rId113" Type="http://schemas.openxmlformats.org/officeDocument/2006/relationships/hyperlink" Target="https://kent.ca/en/search?q=m6+x+30+bolt" TargetMode="External"/><Relationship Id="rId114" Type="http://schemas.openxmlformats.org/officeDocument/2006/relationships/hyperlink" Target="https://www.amazon.ca/dp/B0G5ZDQB47" TargetMode="External"/><Relationship Id="rId115" Type="http://schemas.openxmlformats.org/officeDocument/2006/relationships/hyperlink" Target="https://www.amazon.ca/s?k=25mm+shaft+1000mm" TargetMode="External"/><Relationship Id="rId116" Type="http://schemas.openxmlformats.org/officeDocument/2006/relationships/hyperlink" Target="https://www.google.com/search?q=25mm+steel+round+bar+Fredericton+NB" TargetMode="External"/><Relationship Id="rId117" Type="http://schemas.openxmlformats.org/officeDocument/2006/relationships/hyperlink" Target="https://www.amazon.ca/dp/B0D9RTBQF2" TargetMode="External"/><Relationship Id="rId118" Type="http://schemas.openxmlformats.org/officeDocument/2006/relationships/hyperlink" Target="https://www.amazon.ca/s?k=shf25+shaft+support" TargetMode="External"/><Relationship Id="rId119" Type="http://schemas.openxmlformats.org/officeDocument/2006/relationships/hyperlink" Target="https://www.amazon.ca/dp/B08HJYZK1X" TargetMode="External"/><Relationship Id="rId120" Type="http://schemas.openxmlformats.org/officeDocument/2006/relationships/hyperlink" Target="https://www.amazon.ca/s?k=ucp205+pillow+block+bearing+25mm" TargetMode="External"/><Relationship Id="rId121" Type="http://schemas.openxmlformats.org/officeDocument/2006/relationships/hyperlink" Target="https://www.amazon.ca/dp/B0BLLVF9DB" TargetMode="External"/><Relationship Id="rId122" Type="http://schemas.openxmlformats.org/officeDocument/2006/relationships/hyperlink" Target="https://www.amazon.ca/s?k=ucf205+flange+bearing+25mm" TargetMode="External"/><Relationship Id="rId123" Type="http://schemas.openxmlformats.org/officeDocument/2006/relationships/hyperlink" Target="https://www.amazon.ca/dp/B0G2Q98L26" TargetMode="External"/><Relationship Id="rId124" Type="http://schemas.openxmlformats.org/officeDocument/2006/relationships/hyperlink" Target="https://www.amazon.ca/s?k=25mm+shaft+collar+steel" TargetMode="External"/><Relationship Id="rId125" Type="http://schemas.openxmlformats.org/officeDocument/2006/relationships/hyperlink" Target="https://www.google.com/search?q=6mm+steel+plate+Fredericton+NB" TargetMode="External"/><Relationship Id="rId126" Type="http://schemas.openxmlformats.org/officeDocument/2006/relationships/hyperlink" Target="https://kent.ca/en/search?q=m10+x+90+lag+screw" TargetMode="External"/><Relationship Id="rId127" Type="http://schemas.openxmlformats.org/officeDocument/2006/relationships/hyperlink" Target="https://kent.ca/en/search?q=m8+x+60+bolt" TargetMode="External"/><Relationship Id="rId128" Type="http://schemas.openxmlformats.org/officeDocument/2006/relationships/hyperlink" Target="https://www.amazon.ca/dp/B0FKMS7Y12" TargetMode="External"/><Relationship Id="rId129" Type="http://schemas.openxmlformats.org/officeDocument/2006/relationships/hyperlink" Target="https://www.amazon.ca/s?k=12v+linear+actuator+10+inch+stroke+330+lbs" TargetMode="External"/><Relationship Id="rId130" Type="http://schemas.openxmlformats.org/officeDocument/2006/relationships/hyperlink" Target="https://www.amazon.ca/dp/B0FKMVCQPC" TargetMode="External"/><Relationship Id="rId131" Type="http://schemas.openxmlformats.org/officeDocument/2006/relationships/hyperlink" Target="https://www.amazon.ca/s?k=12v+linear+actuator+12+inch+stroke+330+lbs+1500N" TargetMode="External"/><Relationship Id="rId132" Type="http://schemas.openxmlformats.org/officeDocument/2006/relationships/hyperlink" Target="https://www.amazon.ca/s?k=gas+strut+1000N+250mm+M8+eyelet+pair" TargetMode="External"/><Relationship Id="rId133" Type="http://schemas.openxmlformats.org/officeDocument/2006/relationships/hyperlink" Target="https://kent.ca/en/search?q=heavy+steel+angle+bracket" TargetMode="External"/><Relationship Id="rId134" Type="http://schemas.openxmlformats.org/officeDocument/2006/relationships/hyperlink" Target="https://www.google.com/search?q=2x2x1%2F8+square+steel+tube+Fredericton+NB" TargetMode="External"/><Relationship Id="rId135" Type="http://schemas.openxmlformats.org/officeDocument/2006/relationships/hyperlink" Target="https://www.google.com/search?q=6mm+steel+plate+cut+to+size+welding+Fredericton+NB" TargetMode="External"/><Relationship Id="rId136" Type="http://schemas.openxmlformats.org/officeDocument/2006/relationships/hyperlink" Target="https://kent.ca/en/search?q=m10+x+70+bolt+grade+8.8" TargetMode="External"/><Relationship Id="rId137" Type="http://schemas.openxmlformats.org/officeDocument/2006/relationships/hyperlink" Target="https://www.google.com/search?q=laser+cutting+steel+plate+Fredericton+NB" TargetMode="External"/><Relationship Id="rId138" Type="http://schemas.openxmlformats.org/officeDocument/2006/relationships/hyperlink" Target="https://www.amazon.ca/dp/B07GZHSCP6" TargetMode="External"/><Relationship Id="rId139" Type="http://schemas.openxmlformats.org/officeDocument/2006/relationships/hyperlink" Target="https://www.amazon.ca/s?k=spring+loaded+barrel+bolt+latch+heavy+duty" TargetMode="External"/><Relationship Id="rId140" Type="http://schemas.openxmlformats.org/officeDocument/2006/relationships/hyperlink" Target="https://www.amazon.ca/dp/B0B8C66T4Q" TargetMode="External"/><Relationship Id="rId141" Type="http://schemas.openxmlformats.org/officeDocument/2006/relationships/hyperlink" Target="https://www.amazon.ca/s?k=bicycle+brake+lever+cable+set" TargetMode="External"/><Relationship Id="rId142" Type="http://schemas.openxmlformats.org/officeDocument/2006/relationships/hyperlink" Target="https://kent.ca/en/search?q=1%2F2+inch+clevis+pin" TargetMode="External"/><Relationship Id="rId143" Type="http://schemas.openxmlformats.org/officeDocument/2006/relationships/hyperlink" Target="https://www.amazon.ca/dp/B0D1XSZ8SF" TargetMode="External"/><Relationship Id="rId144" Type="http://schemas.openxmlformats.org/officeDocument/2006/relationships/hyperlink" Target="https://www.amazon.ca/s?k=rubber+bumper+pads+with+screws" TargetMode="External"/><Relationship Id="rId145" Type="http://schemas.openxmlformats.org/officeDocument/2006/relationships/hyperlink" Target="https://www.amazon.ca/dp/B07RJMG3FB" TargetMode="External"/><Relationship Id="rId146" Type="http://schemas.openxmlformats.org/officeDocument/2006/relationships/hyperlink" Target="https://www.amazon.ca/s?k=12v+20a+power+supply+enclosed" TargetMode="External"/><Relationship Id="rId147" Type="http://schemas.openxmlformats.org/officeDocument/2006/relationships/hyperlink" Target="https://www.amazon.ca/dp/B0BHY1RQQR" TargetMode="External"/><Relationship Id="rId148" Type="http://schemas.openxmlformats.org/officeDocument/2006/relationships/hyperlink" Target="https://www.amazon.ca/s?k=12+awg+inline+atc+fuse+holder" TargetMode="External"/><Relationship Id="rId149" Type="http://schemas.openxmlformats.org/officeDocument/2006/relationships/hyperlink" Target="https://www.amazon.ca/dp/B09M849WCK" TargetMode="External"/><Relationship Id="rId150" Type="http://schemas.openxmlformats.org/officeDocument/2006/relationships/hyperlink" Target="https://www.amazon.ca/s?k=19mm+key+switch+2+position" TargetMode="External"/><Relationship Id="rId151" Type="http://schemas.openxmlformats.org/officeDocument/2006/relationships/hyperlink" Target="https://www.amazon.ca/dp/B019DSZWPC" TargetMode="External"/><Relationship Id="rId152" Type="http://schemas.openxmlformats.org/officeDocument/2006/relationships/hyperlink" Target="https://www.amazon.ca/s?k=22mm+emergency+stop+nc" TargetMode="External"/><Relationship Id="rId153" Type="http://schemas.openxmlformats.org/officeDocument/2006/relationships/hyperlink" Target="https://www.amazon.ca/dp/B0C22K75FZ" TargetMode="External"/><Relationship Id="rId154" Type="http://schemas.openxmlformats.org/officeDocument/2006/relationships/hyperlink" Target="https://www.amazon.ca/s?k=dpdt+momentary+toggle+on+off+on" TargetMode="External"/><Relationship Id="rId155" Type="http://schemas.openxmlformats.org/officeDocument/2006/relationships/hyperlink" Target="https://www.amazon.ca/dp/B0DNJVMMF9" TargetMode="External"/><Relationship Id="rId156" Type="http://schemas.openxmlformats.org/officeDocument/2006/relationships/hyperlink" Target="https://www.amazon.ca/s?k=12v+30a+relay+spdt+5+pin" TargetMode="External"/><Relationship Id="rId157" Type="http://schemas.openxmlformats.org/officeDocument/2006/relationships/hyperlink" Target="https://www.amazon.ca/dp/B0F8HJ4V9J" TargetMode="External"/><Relationship Id="rId158" Type="http://schemas.openxmlformats.org/officeDocument/2006/relationships/hyperlink" Target="https://www.amazon.ca/s?k=v-156-1c25+roller+lever+micro+switch+15a" TargetMode="External"/><Relationship Id="rId159" Type="http://schemas.openxmlformats.org/officeDocument/2006/relationships/hyperlink" Target="https://www.amazon.ca/dp/B079KF3VJG" TargetMode="External"/><Relationship Id="rId160" Type="http://schemas.openxmlformats.org/officeDocument/2006/relationships/hyperlink" Target="https://www.amazon.ca/s?k=6a10+diode" TargetMode="External"/><Relationship Id="rId161" Type="http://schemas.openxmlformats.org/officeDocument/2006/relationships/hyperlink" Target="https://www.amazon.ca/s?k=pressure+sensitive+safety+edge+NC" TargetMode="External"/><Relationship Id="rId162" Type="http://schemas.openxmlformats.org/officeDocument/2006/relationships/hyperlink" Target="https://www.amazon.ca/dp/B0CXY76JGX" TargetMode="External"/><Relationship Id="rId163" Type="http://schemas.openxmlformats.org/officeDocument/2006/relationships/hyperlink" Target="https://www.amazon.ca/s?k=14+awg+red+black+copper+wire+50+ft" TargetMode="External"/><Relationship Id="rId164" Type="http://schemas.openxmlformats.org/officeDocument/2006/relationships/hyperlink" Target="https://www.amazon.ca/dp/B0B569WMNP" TargetMode="External"/><Relationship Id="rId165" Type="http://schemas.openxmlformats.org/officeDocument/2006/relationships/hyperlink" Target="https://www.amazon.ca/s?k=heat+shrink+ring+terminal+kit" TargetMode="External"/><Relationship Id="rId166" Type="http://schemas.openxmlformats.org/officeDocument/2006/relationships/hyperlink" Target="https://www.amazon.ca/s?k=strip+brush+aluminum+holder+25mm" TargetMode="External"/><Relationship Id="rId167" Type="http://schemas.openxmlformats.org/officeDocument/2006/relationships/hyperlink" Target="https://www.amazon.ca/dp/B0DQXC46NQ" TargetMode="External"/><Relationship Id="rId168" Type="http://schemas.openxmlformats.org/officeDocument/2006/relationships/hyperlink" Target="https://www.amazon.ca/s?k=high+density+foam+1+inch+24+x+72" TargetMode="External"/><Relationship Id="rId169" Type="http://schemas.openxmlformats.org/officeDocument/2006/relationships/hyperlink" Target="https://www.amazon.ca/dp/B0B3J1GCVQ" TargetMode="External"/><Relationship Id="rId170" Type="http://schemas.openxmlformats.org/officeDocument/2006/relationships/hyperlink" Target="https://www.amazon.ca/s?k=1+inch+side+release+buckle+kit" TargetMode="External"/><Relationship Id="rId171" Type="http://schemas.openxmlformats.org/officeDocument/2006/relationships/hyperlink" Target="https://www.amazon.ca/dp/B0B7RHCFMV" TargetMode="External"/><Relationship Id="rId172" Type="http://schemas.openxmlformats.org/officeDocument/2006/relationships/hyperlink" Target="https://www.amazon.ca/s?k=1+inch+rated+webbing+4000+lb+polyester" TargetMode="External"/><Relationship Id="rId173" Type="http://schemas.openxmlformats.org/officeDocument/2006/relationships/hyperlink" Target="https://www.amazon.ca/dp/B0D781P6JB" TargetMode="External"/><Relationship Id="rId174" Type="http://schemas.openxmlformats.org/officeDocument/2006/relationships/hyperlink" Target="https://www.amazon.ca/s?k=welded+steel+o+ring+2+inch+heavy+duty" TargetMode="External"/><Relationship Id="rId175" Type="http://schemas.openxmlformats.org/officeDocument/2006/relationships/hyperlink" Target="https://www.amazon.ca/dp/B0CS9SL864" TargetMode="External"/><Relationship Id="rId176" Type="http://schemas.openxmlformats.org/officeDocument/2006/relationships/hyperlink" Target="https://www.amazon.ca/s?k=welded+steel+d+ring+1+inch" TargetMode="External"/><Relationship Id="rId177" Type="http://schemas.openxmlformats.org/officeDocument/2006/relationships/hyperlink" Target="https://kent.ca/en/search?q=forged+eye+bolt+3%2F8" TargetMode="External"/><Relationship Id="rId178" Type="http://schemas.openxmlformats.org/officeDocument/2006/relationships/hyperlink" Target="https://www.amazon.ca/dp/B0BFPZ5ZGW" TargetMode="External"/><Relationship Id="rId179" Type="http://schemas.openxmlformats.org/officeDocument/2006/relationships/hyperlink" Target="https://www.amazon.ca/s?k=2+point+lap+belt+adjustable" TargetMode="External"/><Relationship Id="rId180" Type="http://schemas.openxmlformats.org/officeDocument/2006/relationships/hyperlink" Target="https://www.amazon.ca/dp/B078SJ86G7" TargetMode="External"/><Relationship Id="rId181" Type="http://schemas.openxmlformats.org/officeDocument/2006/relationships/hyperlink" Target="https://www.amazon.ca/s?k=high+density+foam+2+inch+24+x+72" TargetMode="External"/><Relationship Id="rId182" Type="http://schemas.openxmlformats.org/officeDocument/2006/relationships/hyperlink" Target="https://www.amazon.ca/dp/B0744QFFS8" TargetMode="External"/><Relationship Id="rId183" Type="http://schemas.openxmlformats.org/officeDocument/2006/relationships/hyperlink" Target="https://www.amazon.ca/s?k=marine+vinyl+fabric+black" TargetMode="External"/><Relationship Id="rId184" Type="http://schemas.openxmlformats.org/officeDocument/2006/relationships/hyperlink" Target="https://www.amazon.ca/dp/B08TB7NLJB" TargetMode="External"/><Relationship Id="rId185" Type="http://schemas.openxmlformats.org/officeDocument/2006/relationships/hyperlink" Target="https://www.amazon.ca/s?k=4+point+harness+metal+buckle+2+inch" TargetMode="External"/><Relationship Id="rId186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70"/>
    <col collapsed="false" customWidth="true" hidden="false" outlineLevel="0" max="4" min="4" style="0" width="36"/>
    <col collapsed="false" customWidth="true" hidden="false" outlineLevel="0" max="7" min="5" style="0" width="9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2" min="11" style="0" width="38"/>
    <col collapsed="false" customWidth="true" hidden="false" outlineLevel="0" max="13" min="13" style="0" width="13"/>
    <col collapsed="false" customWidth="true" hidden="false" outlineLevel="0" max="14" min="14" style="0" width="30"/>
    <col collapsed="false" customWidth="true" hidden="true" outlineLevel="0" max="15" min="15" style="0" width="7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8.35" hidden="false" customHeight="false" outlineLevel="0" collapsed="false">
      <c r="A2" s="2" t="s">
        <v>15</v>
      </c>
      <c r="B2" s="3" t="s">
        <v>16</v>
      </c>
      <c r="C2" s="3" t="s">
        <v>17</v>
      </c>
      <c r="D2" s="3" t="s">
        <v>18</v>
      </c>
      <c r="E2" s="2" t="n">
        <v>1</v>
      </c>
      <c r="F2" s="4" t="b">
        <f aca="false">TRUE()</f>
        <v>1</v>
      </c>
      <c r="G2" s="2" t="n">
        <f aca="false">IF(OR(F2=TRUE(),F2="TRUE"),0,E2)</f>
        <v>0</v>
      </c>
      <c r="H2" s="5" t="n">
        <v>0</v>
      </c>
      <c r="I2" s="5" t="n">
        <f aca="false">IF(H2="","",G2*H2)</f>
        <v>0</v>
      </c>
      <c r="J2" s="2" t="s">
        <v>19</v>
      </c>
      <c r="K2" s="2"/>
      <c r="L2" s="2"/>
      <c r="M2" s="2"/>
      <c r="N2" s="3" t="s">
        <v>19</v>
      </c>
      <c r="O2" s="6" t="str">
        <f aca="false">IF(AND(J2="Amazon.ca",G2&gt;0,ISERROR(SEARCH("ALTERNATIVE",A2))),MAX(O$1:O1)+1,"")</f>
        <v/>
      </c>
    </row>
    <row r="3" customFormat="false" ht="15" hidden="false" customHeight="false" outlineLevel="0" collapsed="false">
      <c r="A3" s="2" t="s">
        <v>15</v>
      </c>
      <c r="B3" s="3" t="s">
        <v>20</v>
      </c>
      <c r="C3" s="3" t="s">
        <v>21</v>
      </c>
      <c r="D3" s="3" t="s">
        <v>22</v>
      </c>
      <c r="E3" s="2" t="n">
        <v>1</v>
      </c>
      <c r="F3" s="4" t="b">
        <f aca="false">TRUE()</f>
        <v>1</v>
      </c>
      <c r="G3" s="2" t="n">
        <f aca="false">IF(OR(F3=TRUE(),F3="TRUE"),0,E3)</f>
        <v>0</v>
      </c>
      <c r="H3" s="5" t="n">
        <v>0</v>
      </c>
      <c r="I3" s="5" t="n">
        <f aca="false">IF(H3="","",G3*H3)</f>
        <v>0</v>
      </c>
      <c r="J3" s="2" t="s">
        <v>19</v>
      </c>
      <c r="K3" s="2"/>
      <c r="L3" s="2"/>
      <c r="M3" s="2"/>
      <c r="N3" s="3" t="s">
        <v>19</v>
      </c>
      <c r="O3" s="6" t="str">
        <f aca="false">IF(AND(J3="Amazon.ca",G3&gt;0,ISERROR(SEARCH("ALTERNATIVE",A3))),MAX(O$1:O2)+1,"")</f>
        <v/>
      </c>
    </row>
    <row r="4" customFormat="false" ht="15" hidden="false" customHeight="false" outlineLevel="0" collapsed="false">
      <c r="A4" s="2" t="s">
        <v>15</v>
      </c>
      <c r="B4" s="3" t="s">
        <v>23</v>
      </c>
      <c r="C4" s="3" t="s">
        <v>24</v>
      </c>
      <c r="D4" s="3" t="s">
        <v>25</v>
      </c>
      <c r="E4" s="2" t="n">
        <v>1</v>
      </c>
      <c r="F4" s="4" t="b">
        <f aca="false">TRUE()</f>
        <v>1</v>
      </c>
      <c r="G4" s="2" t="n">
        <f aca="false">IF(OR(F4=TRUE(),F4="TRUE"),0,E4)</f>
        <v>0</v>
      </c>
      <c r="H4" s="5" t="n">
        <v>0</v>
      </c>
      <c r="I4" s="5" t="n">
        <f aca="false">IF(H4="","",G4*H4)</f>
        <v>0</v>
      </c>
      <c r="J4" s="2" t="s">
        <v>19</v>
      </c>
      <c r="K4" s="2"/>
      <c r="L4" s="2"/>
      <c r="M4" s="2"/>
      <c r="N4" s="3" t="s">
        <v>19</v>
      </c>
      <c r="O4" s="6" t="str">
        <f aca="false">IF(AND(J4="Amazon.ca",G4&gt;0,ISERROR(SEARCH("ALTERNATIVE",A4))),MAX(O$1:O3)+1,"")</f>
        <v/>
      </c>
    </row>
    <row r="5" customFormat="false" ht="28.35" hidden="false" customHeight="false" outlineLevel="0" collapsed="false">
      <c r="A5" s="2" t="s">
        <v>15</v>
      </c>
      <c r="B5" s="3" t="s">
        <v>26</v>
      </c>
      <c r="C5" s="3" t="s">
        <v>27</v>
      </c>
      <c r="D5" s="3" t="s">
        <v>28</v>
      </c>
      <c r="E5" s="2" t="n">
        <v>1</v>
      </c>
      <c r="F5" s="4" t="b">
        <f aca="false">TRUE()</f>
        <v>1</v>
      </c>
      <c r="G5" s="2" t="n">
        <f aca="false">IF(OR(F5=TRUE(),F5="TRUE"),0,E5)</f>
        <v>0</v>
      </c>
      <c r="H5" s="5" t="n">
        <v>0</v>
      </c>
      <c r="I5" s="5" t="n">
        <f aca="false">IF(H5="","",G5*H5)</f>
        <v>0</v>
      </c>
      <c r="J5" s="2" t="s">
        <v>19</v>
      </c>
      <c r="K5" s="2"/>
      <c r="L5" s="2"/>
      <c r="M5" s="2"/>
      <c r="N5" s="3" t="s">
        <v>19</v>
      </c>
      <c r="O5" s="6" t="str">
        <f aca="false">IF(AND(J5="Amazon.ca",G5&gt;0,ISERROR(SEARCH("ALTERNATIVE",A5))),MAX(O$1:O4)+1,"")</f>
        <v/>
      </c>
    </row>
    <row r="6" customFormat="false" ht="28.35" hidden="false" customHeight="false" outlineLevel="0" collapsed="false">
      <c r="A6" s="2" t="s">
        <v>15</v>
      </c>
      <c r="B6" s="3" t="s">
        <v>29</v>
      </c>
      <c r="C6" s="3" t="s">
        <v>30</v>
      </c>
      <c r="D6" s="3" t="s">
        <v>31</v>
      </c>
      <c r="E6" s="2" t="n">
        <v>3</v>
      </c>
      <c r="F6" s="4" t="b">
        <f aca="false">TRUE()</f>
        <v>1</v>
      </c>
      <c r="G6" s="2" t="n">
        <f aca="false">IF(OR(F6=TRUE(),F6="TRUE"),0,E6)</f>
        <v>0</v>
      </c>
      <c r="H6" s="5" t="n">
        <v>0</v>
      </c>
      <c r="I6" s="5" t="n">
        <f aca="false">IF(H6="","",G6*H6)</f>
        <v>0</v>
      </c>
      <c r="J6" s="2" t="s">
        <v>19</v>
      </c>
      <c r="K6" s="2"/>
      <c r="L6" s="2"/>
      <c r="M6" s="2"/>
      <c r="N6" s="3" t="s">
        <v>19</v>
      </c>
      <c r="O6" s="6" t="str">
        <f aca="false">IF(AND(J6="Amazon.ca",G6&gt;0,ISERROR(SEARCH("ALTERNATIVE",A6))),MAX(O$1:O5)+1,"")</f>
        <v/>
      </c>
    </row>
    <row r="7" customFormat="false" ht="28.35" hidden="false" customHeight="false" outlineLevel="0" collapsed="false">
      <c r="A7" s="2" t="s">
        <v>15</v>
      </c>
      <c r="B7" s="3" t="s">
        <v>32</v>
      </c>
      <c r="C7" s="3" t="s">
        <v>33</v>
      </c>
      <c r="D7" s="3" t="s">
        <v>34</v>
      </c>
      <c r="E7" s="2" t="n">
        <v>2</v>
      </c>
      <c r="F7" s="4" t="b">
        <f aca="false">TRUE()</f>
        <v>1</v>
      </c>
      <c r="G7" s="2" t="n">
        <f aca="false">IF(OR(F7=TRUE(),F7="TRUE"),0,E7)</f>
        <v>0</v>
      </c>
      <c r="H7" s="5" t="n">
        <v>0</v>
      </c>
      <c r="I7" s="5" t="n">
        <f aca="false">IF(H7="","",G7*H7)</f>
        <v>0</v>
      </c>
      <c r="J7" s="2" t="s">
        <v>19</v>
      </c>
      <c r="K7" s="2"/>
      <c r="L7" s="2"/>
      <c r="M7" s="2"/>
      <c r="N7" s="3" t="s">
        <v>19</v>
      </c>
      <c r="O7" s="6" t="str">
        <f aca="false">IF(AND(J7="Amazon.ca",G7&gt;0,ISERROR(SEARCH("ALTERNATIVE",A7))),MAX(O$1:O6)+1,"")</f>
        <v/>
      </c>
    </row>
    <row r="8" customFormat="false" ht="28.35" hidden="false" customHeight="false" outlineLevel="0" collapsed="false">
      <c r="A8" s="2" t="s">
        <v>35</v>
      </c>
      <c r="B8" s="3" t="s">
        <v>36</v>
      </c>
      <c r="C8" s="3" t="s">
        <v>37</v>
      </c>
      <c r="D8" s="3" t="s">
        <v>38</v>
      </c>
      <c r="E8" s="2" t="n">
        <v>1</v>
      </c>
      <c r="F8" s="4" t="b">
        <f aca="false">FALSE()</f>
        <v>0</v>
      </c>
      <c r="G8" s="2" t="n">
        <f aca="false">IF(OR(F8=TRUE(),F8="TRUE"),0,E8)</f>
        <v>1</v>
      </c>
      <c r="H8" s="5" t="n">
        <v>16.99</v>
      </c>
      <c r="I8" s="5" t="n">
        <f aca="false">IF(H8="","",G8*H8)</f>
        <v>16.99</v>
      </c>
      <c r="J8" s="2" t="s">
        <v>39</v>
      </c>
      <c r="K8" s="7" t="s">
        <v>40</v>
      </c>
      <c r="L8" s="7" t="s">
        <v>41</v>
      </c>
      <c r="M8" s="2" t="s">
        <v>42</v>
      </c>
      <c r="N8" s="3" t="s">
        <v>43</v>
      </c>
      <c r="O8" s="6" t="n">
        <f aca="false">IF(AND(J8="Amazon.ca",G8&gt;0,ISERROR(SEARCH("ALTERNATIVE",A8))),MAX(O$1:O7)+1,"")</f>
        <v>1</v>
      </c>
    </row>
    <row r="9" customFormat="false" ht="28.35" hidden="false" customHeight="false" outlineLevel="0" collapsed="false">
      <c r="A9" s="2" t="s">
        <v>35</v>
      </c>
      <c r="B9" s="3" t="s">
        <v>44</v>
      </c>
      <c r="C9" s="3" t="s">
        <v>45</v>
      </c>
      <c r="D9" s="3" t="s">
        <v>46</v>
      </c>
      <c r="E9" s="2" t="n">
        <v>1</v>
      </c>
      <c r="F9" s="4" t="b">
        <f aca="false">FALSE()</f>
        <v>0</v>
      </c>
      <c r="G9" s="2" t="n">
        <f aca="false">IF(OR(F9=TRUE(),F9="TRUE"),0,E9)</f>
        <v>1</v>
      </c>
      <c r="H9" s="5" t="n">
        <v>10.76</v>
      </c>
      <c r="I9" s="5" t="n">
        <f aca="false">IF(H9="","",G9*H9)</f>
        <v>10.76</v>
      </c>
      <c r="J9" s="2" t="s">
        <v>39</v>
      </c>
      <c r="K9" s="7" t="s">
        <v>47</v>
      </c>
      <c r="L9" s="7" t="s">
        <v>48</v>
      </c>
      <c r="M9" s="2" t="s">
        <v>42</v>
      </c>
      <c r="N9" s="3" t="s">
        <v>43</v>
      </c>
      <c r="O9" s="6" t="n">
        <f aca="false">IF(AND(J9="Amazon.ca",G9&gt;0,ISERROR(SEARCH("ALTERNATIVE",A9))),MAX(O$1:O8)+1,"")</f>
        <v>2</v>
      </c>
    </row>
    <row r="10" customFormat="false" ht="55.2" hidden="false" customHeight="false" outlineLevel="0" collapsed="false">
      <c r="A10" s="2" t="s">
        <v>35</v>
      </c>
      <c r="B10" s="3" t="s">
        <v>49</v>
      </c>
      <c r="C10" s="3" t="s">
        <v>50</v>
      </c>
      <c r="D10" s="3" t="s">
        <v>51</v>
      </c>
      <c r="E10" s="2" t="n">
        <v>1</v>
      </c>
      <c r="F10" s="4" t="b">
        <f aca="false">FALSE()</f>
        <v>0</v>
      </c>
      <c r="G10" s="2" t="n">
        <f aca="false">IF(OR(F10=TRUE(),F10="TRUE"),0,E10)</f>
        <v>1</v>
      </c>
      <c r="H10" s="5" t="n">
        <v>16.99</v>
      </c>
      <c r="I10" s="5" t="n">
        <f aca="false">IF(H10="","",G10*H10)</f>
        <v>16.99</v>
      </c>
      <c r="J10" s="2" t="s">
        <v>39</v>
      </c>
      <c r="K10" s="7" t="s">
        <v>52</v>
      </c>
      <c r="L10" s="7" t="s">
        <v>53</v>
      </c>
      <c r="M10" s="2" t="s">
        <v>42</v>
      </c>
      <c r="N10" s="3" t="s">
        <v>43</v>
      </c>
      <c r="O10" s="6" t="n">
        <f aca="false">IF(AND(J10="Amazon.ca",G10&gt;0,ISERROR(SEARCH("ALTERNATIVE",A10))),MAX(O$1:O9)+1,"")</f>
        <v>3</v>
      </c>
    </row>
    <row r="11" customFormat="false" ht="28.35" hidden="false" customHeight="false" outlineLevel="0" collapsed="false">
      <c r="A11" s="2" t="s">
        <v>35</v>
      </c>
      <c r="B11" s="3" t="s">
        <v>54</v>
      </c>
      <c r="C11" s="3" t="s">
        <v>55</v>
      </c>
      <c r="D11" s="3" t="s">
        <v>56</v>
      </c>
      <c r="E11" s="2" t="n">
        <v>1</v>
      </c>
      <c r="F11" s="4" t="b">
        <f aca="false">FALSE()</f>
        <v>0</v>
      </c>
      <c r="G11" s="2" t="n">
        <f aca="false">IF(OR(F11=TRUE(),F11="TRUE"),0,E11)</f>
        <v>1</v>
      </c>
      <c r="H11" s="5" t="n">
        <v>12.99</v>
      </c>
      <c r="I11" s="5" t="n">
        <f aca="false">IF(H11="","",G11*H11)</f>
        <v>12.99</v>
      </c>
      <c r="J11" s="2" t="s">
        <v>39</v>
      </c>
      <c r="K11" s="7" t="s">
        <v>57</v>
      </c>
      <c r="L11" s="7" t="s">
        <v>58</v>
      </c>
      <c r="M11" s="2" t="s">
        <v>42</v>
      </c>
      <c r="N11" s="3" t="s">
        <v>43</v>
      </c>
      <c r="O11" s="6" t="n">
        <f aca="false">IF(AND(J11="Amazon.ca",G11&gt;0,ISERROR(SEARCH("ALTERNATIVE",A11))),MAX(O$1:O10)+1,"")</f>
        <v>4</v>
      </c>
    </row>
    <row r="12" customFormat="false" ht="28.35" hidden="false" customHeight="false" outlineLevel="0" collapsed="false">
      <c r="A12" s="2" t="s">
        <v>35</v>
      </c>
      <c r="B12" s="3" t="s">
        <v>59</v>
      </c>
      <c r="C12" s="3" t="s">
        <v>60</v>
      </c>
      <c r="D12" s="3" t="s">
        <v>61</v>
      </c>
      <c r="E12" s="2" t="n">
        <v>1</v>
      </c>
      <c r="F12" s="4" t="b">
        <f aca="false">FALSE()</f>
        <v>0</v>
      </c>
      <c r="G12" s="2" t="n">
        <f aca="false">IF(OR(F12=TRUE(),F12="TRUE"),0,E12)</f>
        <v>1</v>
      </c>
      <c r="H12" s="5" t="n">
        <v>9.99</v>
      </c>
      <c r="I12" s="5" t="n">
        <f aca="false">IF(H12="","",G12*H12)</f>
        <v>9.99</v>
      </c>
      <c r="J12" s="2" t="s">
        <v>39</v>
      </c>
      <c r="K12" s="7" t="s">
        <v>62</v>
      </c>
      <c r="L12" s="7" t="s">
        <v>63</v>
      </c>
      <c r="M12" s="2" t="s">
        <v>42</v>
      </c>
      <c r="N12" s="3" t="s">
        <v>43</v>
      </c>
      <c r="O12" s="6" t="n">
        <f aca="false">IF(AND(J12="Amazon.ca",G12&gt;0,ISERROR(SEARCH("ALTERNATIVE",A12))),MAX(O$1:O11)+1,"")</f>
        <v>5</v>
      </c>
    </row>
    <row r="13" customFormat="false" ht="28.35" hidden="false" customHeight="false" outlineLevel="0" collapsed="false">
      <c r="A13" s="2" t="s">
        <v>35</v>
      </c>
      <c r="B13" s="3" t="s">
        <v>64</v>
      </c>
      <c r="C13" s="3" t="s">
        <v>65</v>
      </c>
      <c r="D13" s="3" t="s">
        <v>66</v>
      </c>
      <c r="E13" s="2" t="n">
        <v>1</v>
      </c>
      <c r="F13" s="4" t="b">
        <f aca="false">FALSE()</f>
        <v>0</v>
      </c>
      <c r="G13" s="2" t="n">
        <f aca="false">IF(OR(F13=TRUE(),F13="TRUE"),0,E13)</f>
        <v>1</v>
      </c>
      <c r="H13" s="5" t="n">
        <v>39.99</v>
      </c>
      <c r="I13" s="5" t="n">
        <f aca="false">IF(H13="","",G13*H13)</f>
        <v>39.99</v>
      </c>
      <c r="J13" s="2" t="s">
        <v>39</v>
      </c>
      <c r="K13" s="7" t="s">
        <v>67</v>
      </c>
      <c r="L13" s="7" t="s">
        <v>68</v>
      </c>
      <c r="M13" s="2" t="s">
        <v>42</v>
      </c>
      <c r="N13" s="3" t="s">
        <v>43</v>
      </c>
      <c r="O13" s="6" t="n">
        <f aca="false">IF(AND(J13="Amazon.ca",G13&gt;0,ISERROR(SEARCH("ALTERNATIVE",A13))),MAX(O$1:O12)+1,"")</f>
        <v>6</v>
      </c>
    </row>
    <row r="14" customFormat="false" ht="28.35" hidden="false" customHeight="false" outlineLevel="0" collapsed="false">
      <c r="A14" s="2" t="s">
        <v>35</v>
      </c>
      <c r="B14" s="3" t="s">
        <v>69</v>
      </c>
      <c r="C14" s="3" t="s">
        <v>70</v>
      </c>
      <c r="D14" s="3" t="s">
        <v>71</v>
      </c>
      <c r="E14" s="2" t="n">
        <v>1</v>
      </c>
      <c r="F14" s="4" t="b">
        <f aca="false">FALSE()</f>
        <v>0</v>
      </c>
      <c r="G14" s="2" t="n">
        <f aca="false">IF(OR(F14=TRUE(),F14="TRUE"),0,E14)</f>
        <v>1</v>
      </c>
      <c r="H14" s="5" t="n">
        <v>15.98</v>
      </c>
      <c r="I14" s="5" t="n">
        <f aca="false">IF(H14="","",G14*H14)</f>
        <v>15.98</v>
      </c>
      <c r="J14" s="2" t="s">
        <v>39</v>
      </c>
      <c r="K14" s="7" t="s">
        <v>72</v>
      </c>
      <c r="L14" s="7" t="s">
        <v>73</v>
      </c>
      <c r="M14" s="2" t="s">
        <v>42</v>
      </c>
      <c r="N14" s="3" t="s">
        <v>43</v>
      </c>
      <c r="O14" s="6" t="n">
        <f aca="false">IF(AND(J14="Amazon.ca",G14&gt;0,ISERROR(SEARCH("ALTERNATIVE",A14))),MAX(O$1:O13)+1,"")</f>
        <v>7</v>
      </c>
    </row>
    <row r="15" customFormat="false" ht="41.75" hidden="false" customHeight="false" outlineLevel="0" collapsed="false">
      <c r="A15" s="2" t="s">
        <v>74</v>
      </c>
      <c r="B15" s="3" t="s">
        <v>75</v>
      </c>
      <c r="C15" s="3" t="s">
        <v>76</v>
      </c>
      <c r="D15" s="3" t="s">
        <v>77</v>
      </c>
      <c r="E15" s="2" t="n">
        <v>1</v>
      </c>
      <c r="F15" s="4" t="b">
        <f aca="false">FALSE()</f>
        <v>0</v>
      </c>
      <c r="G15" s="2" t="n">
        <f aca="false">IF(OR(F15=TRUE(),F15="TRUE"),0,E15)</f>
        <v>1</v>
      </c>
      <c r="H15" s="5" t="n">
        <v>71.98</v>
      </c>
      <c r="I15" s="5" t="n">
        <f aca="false">IF(H15="","",G15*H15)</f>
        <v>71.98</v>
      </c>
      <c r="J15" s="2" t="s">
        <v>39</v>
      </c>
      <c r="K15" s="7" t="s">
        <v>78</v>
      </c>
      <c r="L15" s="7" t="s">
        <v>79</v>
      </c>
      <c r="M15" s="2" t="s">
        <v>42</v>
      </c>
      <c r="N15" s="3" t="s">
        <v>43</v>
      </c>
      <c r="O15" s="6" t="n">
        <f aca="false">IF(AND(J15="Amazon.ca",G15&gt;0,ISERROR(SEARCH("ALTERNATIVE",A15))),MAX(O$1:O14)+1,"")</f>
        <v>8</v>
      </c>
    </row>
    <row r="16" customFormat="false" ht="41.75" hidden="false" customHeight="false" outlineLevel="0" collapsed="false">
      <c r="A16" s="2" t="s">
        <v>74</v>
      </c>
      <c r="B16" s="3" t="s">
        <v>80</v>
      </c>
      <c r="C16" s="3" t="s">
        <v>81</v>
      </c>
      <c r="D16" s="3" t="s">
        <v>82</v>
      </c>
      <c r="E16" s="2" t="n">
        <v>1</v>
      </c>
      <c r="F16" s="4" t="b">
        <f aca="false">FALSE()</f>
        <v>0</v>
      </c>
      <c r="G16" s="2" t="n">
        <f aca="false">IF(OR(F16=TRUE(),F16="TRUE"),0,E16)</f>
        <v>1</v>
      </c>
      <c r="H16" s="5" t="n">
        <v>18.49</v>
      </c>
      <c r="I16" s="5" t="n">
        <f aca="false">IF(H16="","",G16*H16)</f>
        <v>18.49</v>
      </c>
      <c r="J16" s="2" t="s">
        <v>39</v>
      </c>
      <c r="K16" s="7" t="s">
        <v>83</v>
      </c>
      <c r="L16" s="7" t="s">
        <v>84</v>
      </c>
      <c r="M16" s="2" t="s">
        <v>42</v>
      </c>
      <c r="N16" s="3" t="s">
        <v>43</v>
      </c>
      <c r="O16" s="6" t="n">
        <f aca="false">IF(AND(J16="Amazon.ca",G16&gt;0,ISERROR(SEARCH("ALTERNATIVE",A16))),MAX(O$1:O15)+1,"")</f>
        <v>9</v>
      </c>
    </row>
    <row r="17" customFormat="false" ht="41.75" hidden="false" customHeight="false" outlineLevel="0" collapsed="false">
      <c r="A17" s="2" t="s">
        <v>74</v>
      </c>
      <c r="B17" s="3" t="s">
        <v>85</v>
      </c>
      <c r="C17" s="3" t="s">
        <v>86</v>
      </c>
      <c r="D17" s="3" t="s">
        <v>87</v>
      </c>
      <c r="E17" s="2" t="n">
        <v>1</v>
      </c>
      <c r="F17" s="4" t="b">
        <f aca="false">FALSE()</f>
        <v>0</v>
      </c>
      <c r="G17" s="2" t="n">
        <f aca="false">IF(OR(F17=TRUE(),F17="TRUE"),0,E17)</f>
        <v>1</v>
      </c>
      <c r="H17" s="5" t="n">
        <v>16.99</v>
      </c>
      <c r="I17" s="5" t="n">
        <f aca="false">IF(H17="","",G17*H17)</f>
        <v>16.99</v>
      </c>
      <c r="J17" s="2" t="s">
        <v>39</v>
      </c>
      <c r="K17" s="7" t="s">
        <v>88</v>
      </c>
      <c r="L17" s="7" t="s">
        <v>89</v>
      </c>
      <c r="M17" s="2" t="s">
        <v>42</v>
      </c>
      <c r="N17" s="3" t="s">
        <v>43</v>
      </c>
      <c r="O17" s="6" t="n">
        <f aca="false">IF(AND(J17="Amazon.ca",G17&gt;0,ISERROR(SEARCH("ALTERNATIVE",A17))),MAX(O$1:O16)+1,"")</f>
        <v>10</v>
      </c>
    </row>
    <row r="18" customFormat="false" ht="28.35" hidden="false" customHeight="false" outlineLevel="0" collapsed="false">
      <c r="A18" s="2" t="s">
        <v>74</v>
      </c>
      <c r="B18" s="3" t="s">
        <v>90</v>
      </c>
      <c r="C18" s="3" t="s">
        <v>91</v>
      </c>
      <c r="D18" s="3" t="s">
        <v>92</v>
      </c>
      <c r="E18" s="2" t="n">
        <v>1</v>
      </c>
      <c r="F18" s="4" t="b">
        <f aca="false">FALSE()</f>
        <v>0</v>
      </c>
      <c r="G18" s="2" t="n">
        <f aca="false">IF(OR(F18=TRUE(),F18="TRUE"),0,E18)</f>
        <v>1</v>
      </c>
      <c r="H18" s="5" t="n">
        <v>8.88</v>
      </c>
      <c r="I18" s="5" t="n">
        <f aca="false">IF(H18="","",G18*H18)</f>
        <v>8.88</v>
      </c>
      <c r="J18" s="2" t="s">
        <v>39</v>
      </c>
      <c r="K18" s="7" t="s">
        <v>93</v>
      </c>
      <c r="L18" s="7" t="s">
        <v>94</v>
      </c>
      <c r="M18" s="2" t="s">
        <v>42</v>
      </c>
      <c r="N18" s="3" t="s">
        <v>43</v>
      </c>
      <c r="O18" s="6" t="n">
        <f aca="false">IF(AND(J18="Amazon.ca",G18&gt;0,ISERROR(SEARCH("ALTERNATIVE",A18))),MAX(O$1:O17)+1,"")</f>
        <v>11</v>
      </c>
    </row>
    <row r="19" customFormat="false" ht="28.35" hidden="false" customHeight="false" outlineLevel="0" collapsed="false">
      <c r="A19" s="2" t="s">
        <v>74</v>
      </c>
      <c r="B19" s="3" t="s">
        <v>95</v>
      </c>
      <c r="C19" s="3" t="s">
        <v>96</v>
      </c>
      <c r="D19" s="3" t="s">
        <v>97</v>
      </c>
      <c r="E19" s="2" t="n">
        <v>1</v>
      </c>
      <c r="F19" s="4" t="b">
        <f aca="false">FALSE()</f>
        <v>0</v>
      </c>
      <c r="G19" s="2" t="n">
        <f aca="false">IF(OR(F19=TRUE(),F19="TRUE"),0,E19)</f>
        <v>1</v>
      </c>
      <c r="H19" s="5" t="n">
        <v>6.55</v>
      </c>
      <c r="I19" s="5" t="n">
        <f aca="false">IF(H19="","",G19*H19)</f>
        <v>6.55</v>
      </c>
      <c r="J19" s="2" t="s">
        <v>39</v>
      </c>
      <c r="K19" s="7" t="s">
        <v>98</v>
      </c>
      <c r="L19" s="7" t="s">
        <v>99</v>
      </c>
      <c r="M19" s="2" t="s">
        <v>42</v>
      </c>
      <c r="N19" s="3" t="s">
        <v>43</v>
      </c>
      <c r="O19" s="6" t="n">
        <f aca="false">IF(AND(J19="Amazon.ca",G19&gt;0,ISERROR(SEARCH("ALTERNATIVE",A19))),MAX(O$1:O18)+1,"")</f>
        <v>12</v>
      </c>
    </row>
    <row r="20" customFormat="false" ht="44" hidden="false" customHeight="false" outlineLevel="0" collapsed="false">
      <c r="A20" s="2" t="s">
        <v>74</v>
      </c>
      <c r="B20" s="3" t="s">
        <v>100</v>
      </c>
      <c r="C20" s="3" t="s">
        <v>101</v>
      </c>
      <c r="D20" s="3" t="s">
        <v>102</v>
      </c>
      <c r="E20" s="2" t="n">
        <v>1</v>
      </c>
      <c r="F20" s="4" t="b">
        <f aca="false">FALSE()</f>
        <v>0</v>
      </c>
      <c r="G20" s="2" t="n">
        <f aca="false">IF(OR(F20=TRUE(),F20="TRUE"),0,E20)</f>
        <v>1</v>
      </c>
      <c r="H20" s="5" t="n">
        <v>16.99</v>
      </c>
      <c r="I20" s="5" t="n">
        <f aca="false">IF(H20="","",G20*H20)</f>
        <v>16.99</v>
      </c>
      <c r="J20" s="2" t="s">
        <v>39</v>
      </c>
      <c r="K20" s="7" t="s">
        <v>103</v>
      </c>
      <c r="L20" s="7" t="s">
        <v>104</v>
      </c>
      <c r="M20" s="2" t="s">
        <v>42</v>
      </c>
      <c r="N20" s="3" t="s">
        <v>43</v>
      </c>
      <c r="O20" s="6" t="n">
        <f aca="false">IF(AND(J20="Amazon.ca",G20&gt;0,ISERROR(SEARCH("ALTERNATIVE",A20))),MAX(O$1:O19)+1,"")</f>
        <v>13</v>
      </c>
    </row>
    <row r="21" customFormat="false" ht="28.35" hidden="false" customHeight="false" outlineLevel="0" collapsed="false">
      <c r="A21" s="2" t="s">
        <v>74</v>
      </c>
      <c r="B21" s="3" t="s">
        <v>105</v>
      </c>
      <c r="C21" s="3" t="s">
        <v>106</v>
      </c>
      <c r="D21" s="3" t="s">
        <v>107</v>
      </c>
      <c r="E21" s="2" t="n">
        <v>1</v>
      </c>
      <c r="F21" s="4" t="b">
        <f aca="false">FALSE()</f>
        <v>0</v>
      </c>
      <c r="G21" s="2" t="n">
        <f aca="false">IF(OR(F21=TRUE(),F21="TRUE"),0,E21)</f>
        <v>1</v>
      </c>
      <c r="H21" s="5" t="n">
        <v>11.56</v>
      </c>
      <c r="I21" s="5" t="n">
        <f aca="false">IF(H21="","",G21*H21)</f>
        <v>11.56</v>
      </c>
      <c r="J21" s="2" t="s">
        <v>39</v>
      </c>
      <c r="K21" s="7" t="s">
        <v>108</v>
      </c>
      <c r="L21" s="7" t="s">
        <v>109</v>
      </c>
      <c r="M21" s="2" t="s">
        <v>42</v>
      </c>
      <c r="N21" s="3" t="s">
        <v>43</v>
      </c>
      <c r="O21" s="6" t="n">
        <f aca="false">IF(AND(J21="Amazon.ca",G21&gt;0,ISERROR(SEARCH("ALTERNATIVE",A21))),MAX(O$1:O20)+1,"")</f>
        <v>14</v>
      </c>
    </row>
    <row r="22" customFormat="false" ht="41.75" hidden="false" customHeight="false" outlineLevel="0" collapsed="false">
      <c r="A22" s="2" t="s">
        <v>74</v>
      </c>
      <c r="B22" s="3" t="s">
        <v>110</v>
      </c>
      <c r="C22" s="3" t="s">
        <v>111</v>
      </c>
      <c r="D22" s="3" t="s">
        <v>112</v>
      </c>
      <c r="E22" s="2" t="n">
        <v>1</v>
      </c>
      <c r="F22" s="4" t="b">
        <f aca="false">FALSE()</f>
        <v>0</v>
      </c>
      <c r="G22" s="2" t="n">
        <f aca="false">IF(OR(F22=TRUE(),F22="TRUE"),0,E22)</f>
        <v>1</v>
      </c>
      <c r="H22" s="5" t="n">
        <v>19.99</v>
      </c>
      <c r="I22" s="5" t="n">
        <f aca="false">IF(H22="","",G22*H22)</f>
        <v>19.99</v>
      </c>
      <c r="J22" s="2" t="s">
        <v>39</v>
      </c>
      <c r="K22" s="7" t="s">
        <v>113</v>
      </c>
      <c r="L22" s="7" t="s">
        <v>114</v>
      </c>
      <c r="M22" s="2" t="s">
        <v>42</v>
      </c>
      <c r="N22" s="3" t="s">
        <v>43</v>
      </c>
      <c r="O22" s="6" t="n">
        <f aca="false">IF(AND(J22="Amazon.ca",G22&gt;0,ISERROR(SEARCH("ALTERNATIVE",A22))),MAX(O$1:O21)+1,"")</f>
        <v>15</v>
      </c>
    </row>
    <row r="23" customFormat="false" ht="28.35" hidden="false" customHeight="false" outlineLevel="0" collapsed="false">
      <c r="A23" s="2" t="s">
        <v>74</v>
      </c>
      <c r="B23" s="3" t="s">
        <v>115</v>
      </c>
      <c r="C23" s="3" t="s">
        <v>116</v>
      </c>
      <c r="D23" s="3" t="s">
        <v>117</v>
      </c>
      <c r="E23" s="2" t="n">
        <v>1</v>
      </c>
      <c r="F23" s="4" t="b">
        <f aca="false">FALSE()</f>
        <v>0</v>
      </c>
      <c r="G23" s="2" t="n">
        <f aca="false">IF(OR(F23=TRUE(),F23="TRUE"),0,E23)</f>
        <v>1</v>
      </c>
      <c r="H23" s="5" t="n">
        <v>8.76</v>
      </c>
      <c r="I23" s="5" t="n">
        <f aca="false">IF(H23="","",G23*H23)</f>
        <v>8.76</v>
      </c>
      <c r="J23" s="2" t="s">
        <v>39</v>
      </c>
      <c r="K23" s="7" t="s">
        <v>118</v>
      </c>
      <c r="L23" s="7" t="s">
        <v>119</v>
      </c>
      <c r="M23" s="2" t="s">
        <v>42</v>
      </c>
      <c r="N23" s="3" t="s">
        <v>43</v>
      </c>
      <c r="O23" s="6" t="n">
        <f aca="false">IF(AND(J23="Amazon.ca",G23&gt;0,ISERROR(SEARCH("ALTERNATIVE",A23))),MAX(O$1:O22)+1,"")</f>
        <v>16</v>
      </c>
    </row>
    <row r="24" customFormat="false" ht="28.35" hidden="false" customHeight="false" outlineLevel="0" collapsed="false">
      <c r="A24" s="2" t="s">
        <v>74</v>
      </c>
      <c r="B24" s="3" t="s">
        <v>120</v>
      </c>
      <c r="C24" s="3" t="s">
        <v>121</v>
      </c>
      <c r="D24" s="3" t="s">
        <v>122</v>
      </c>
      <c r="E24" s="2" t="n">
        <v>1</v>
      </c>
      <c r="F24" s="4" t="b">
        <f aca="false">FALSE()</f>
        <v>0</v>
      </c>
      <c r="G24" s="2" t="n">
        <f aca="false">IF(OR(F24=TRUE(),F24="TRUE"),0,E24)</f>
        <v>1</v>
      </c>
      <c r="H24" s="5" t="n">
        <v>10.68</v>
      </c>
      <c r="I24" s="5" t="n">
        <f aca="false">IF(H24="","",G24*H24)</f>
        <v>10.68</v>
      </c>
      <c r="J24" s="2" t="s">
        <v>39</v>
      </c>
      <c r="K24" s="7" t="s">
        <v>123</v>
      </c>
      <c r="L24" s="7" t="s">
        <v>124</v>
      </c>
      <c r="M24" s="2" t="s">
        <v>42</v>
      </c>
      <c r="N24" s="3" t="s">
        <v>43</v>
      </c>
      <c r="O24" s="6" t="n">
        <f aca="false">IF(AND(J24="Amazon.ca",G24&gt;0,ISERROR(SEARCH("ALTERNATIVE",A24))),MAX(O$1:O23)+1,"")</f>
        <v>17</v>
      </c>
    </row>
    <row r="25" customFormat="false" ht="41.75" hidden="false" customHeight="false" outlineLevel="0" collapsed="false">
      <c r="A25" s="2" t="s">
        <v>74</v>
      </c>
      <c r="B25" s="3" t="s">
        <v>125</v>
      </c>
      <c r="C25" s="3" t="s">
        <v>126</v>
      </c>
      <c r="D25" s="3" t="s">
        <v>127</v>
      </c>
      <c r="E25" s="2" t="n">
        <v>1</v>
      </c>
      <c r="F25" s="4" t="b">
        <f aca="false">FALSE()</f>
        <v>0</v>
      </c>
      <c r="G25" s="2" t="n">
        <f aca="false">IF(OR(F25=TRUE(),F25="TRUE"),0,E25)</f>
        <v>1</v>
      </c>
      <c r="H25" s="5" t="n">
        <v>12.96</v>
      </c>
      <c r="I25" s="5" t="n">
        <f aca="false">IF(H25="","",G25*H25)</f>
        <v>12.96</v>
      </c>
      <c r="J25" s="2" t="s">
        <v>39</v>
      </c>
      <c r="K25" s="7" t="s">
        <v>128</v>
      </c>
      <c r="L25" s="7" t="s">
        <v>129</v>
      </c>
      <c r="M25" s="2" t="s">
        <v>42</v>
      </c>
      <c r="N25" s="3" t="s">
        <v>43</v>
      </c>
      <c r="O25" s="6" t="n">
        <f aca="false">IF(AND(J25="Amazon.ca",G25&gt;0,ISERROR(SEARCH("ALTERNATIVE",A25))),MAX(O$1:O24)+1,"")</f>
        <v>18</v>
      </c>
    </row>
    <row r="26" customFormat="false" ht="28.35" hidden="false" customHeight="false" outlineLevel="0" collapsed="false">
      <c r="A26" s="2" t="s">
        <v>74</v>
      </c>
      <c r="B26" s="3" t="s">
        <v>130</v>
      </c>
      <c r="C26" s="3" t="s">
        <v>131</v>
      </c>
      <c r="D26" s="3" t="s">
        <v>127</v>
      </c>
      <c r="E26" s="2" t="n">
        <v>1</v>
      </c>
      <c r="F26" s="4" t="b">
        <f aca="false">FALSE()</f>
        <v>0</v>
      </c>
      <c r="G26" s="2" t="n">
        <f aca="false">IF(OR(F26=TRUE(),F26="TRUE"),0,E26)</f>
        <v>1</v>
      </c>
      <c r="H26" s="5" t="n">
        <v>18.99</v>
      </c>
      <c r="I26" s="5" t="n">
        <f aca="false">IF(H26="","",G26*H26)</f>
        <v>18.99</v>
      </c>
      <c r="J26" s="2" t="s">
        <v>39</v>
      </c>
      <c r="K26" s="7" t="s">
        <v>132</v>
      </c>
      <c r="L26" s="7" t="s">
        <v>133</v>
      </c>
      <c r="M26" s="2" t="s">
        <v>42</v>
      </c>
      <c r="N26" s="3" t="s">
        <v>43</v>
      </c>
      <c r="O26" s="6" t="n">
        <f aca="false">IF(AND(J26="Amazon.ca",G26&gt;0,ISERROR(SEARCH("ALTERNATIVE",A26))),MAX(O$1:O25)+1,"")</f>
        <v>19</v>
      </c>
    </row>
    <row r="27" customFormat="false" ht="28.35" hidden="false" customHeight="false" outlineLevel="0" collapsed="false">
      <c r="A27" s="2" t="s">
        <v>74</v>
      </c>
      <c r="B27" s="3" t="s">
        <v>134</v>
      </c>
      <c r="C27" s="3" t="s">
        <v>135</v>
      </c>
      <c r="D27" s="3" t="s">
        <v>136</v>
      </c>
      <c r="E27" s="2" t="n">
        <v>1</v>
      </c>
      <c r="F27" s="4" t="b">
        <f aca="false">FALSE()</f>
        <v>0</v>
      </c>
      <c r="G27" s="2" t="n">
        <f aca="false">IF(OR(F27=TRUE(),F27="TRUE"),0,E27)</f>
        <v>1</v>
      </c>
      <c r="H27" s="5" t="n">
        <v>20.99</v>
      </c>
      <c r="I27" s="5" t="n">
        <f aca="false">IF(H27="","",G27*H27)</f>
        <v>20.99</v>
      </c>
      <c r="J27" s="2" t="s">
        <v>39</v>
      </c>
      <c r="K27" s="7" t="s">
        <v>137</v>
      </c>
      <c r="L27" s="7" t="s">
        <v>138</v>
      </c>
      <c r="M27" s="2" t="s">
        <v>42</v>
      </c>
      <c r="N27" s="3" t="s">
        <v>43</v>
      </c>
      <c r="O27" s="6" t="n">
        <f aca="false">IF(AND(J27="Amazon.ca",G27&gt;0,ISERROR(SEARCH("ALTERNATIVE",A27))),MAX(O$1:O26)+1,"")</f>
        <v>20</v>
      </c>
    </row>
    <row r="28" customFormat="false" ht="28.35" hidden="false" customHeight="false" outlineLevel="0" collapsed="false">
      <c r="A28" s="2" t="s">
        <v>74</v>
      </c>
      <c r="B28" s="3" t="s">
        <v>139</v>
      </c>
      <c r="C28" s="3" t="s">
        <v>140</v>
      </c>
      <c r="D28" s="3" t="s">
        <v>141</v>
      </c>
      <c r="E28" s="2" t="n">
        <v>1</v>
      </c>
      <c r="F28" s="4" t="b">
        <f aca="false">FALSE()</f>
        <v>0</v>
      </c>
      <c r="G28" s="2" t="n">
        <f aca="false">IF(OR(F28=TRUE(),F28="TRUE"),0,E28)</f>
        <v>1</v>
      </c>
      <c r="H28" s="5" t="n">
        <v>12.99</v>
      </c>
      <c r="I28" s="5" t="n">
        <f aca="false">IF(H28="","",G28*H28)</f>
        <v>12.99</v>
      </c>
      <c r="J28" s="2" t="s">
        <v>39</v>
      </c>
      <c r="K28" s="7" t="s">
        <v>142</v>
      </c>
      <c r="L28" s="7" t="s">
        <v>143</v>
      </c>
      <c r="M28" s="2" t="s">
        <v>42</v>
      </c>
      <c r="N28" s="3" t="s">
        <v>43</v>
      </c>
      <c r="O28" s="6" t="n">
        <f aca="false">IF(AND(J28="Amazon.ca",G28&gt;0,ISERROR(SEARCH("ALTERNATIVE",A28))),MAX(O$1:O27)+1,"")</f>
        <v>21</v>
      </c>
    </row>
    <row r="29" customFormat="false" ht="41.75" hidden="false" customHeight="false" outlineLevel="0" collapsed="false">
      <c r="A29" s="2" t="s">
        <v>74</v>
      </c>
      <c r="B29" s="3" t="s">
        <v>144</v>
      </c>
      <c r="C29" s="3" t="s">
        <v>145</v>
      </c>
      <c r="D29" s="3" t="s">
        <v>146</v>
      </c>
      <c r="E29" s="2" t="n">
        <v>1</v>
      </c>
      <c r="F29" s="4" t="b">
        <f aca="false">FALSE()</f>
        <v>0</v>
      </c>
      <c r="G29" s="2" t="n">
        <f aca="false">IF(OR(F29=TRUE(),F29="TRUE"),0,E29)</f>
        <v>1</v>
      </c>
      <c r="H29" s="5" t="n">
        <v>17.99</v>
      </c>
      <c r="I29" s="5" t="n">
        <f aca="false">IF(H29="","",G29*H29)</f>
        <v>17.99</v>
      </c>
      <c r="J29" s="2" t="s">
        <v>39</v>
      </c>
      <c r="K29" s="7" t="s">
        <v>147</v>
      </c>
      <c r="L29" s="7" t="s">
        <v>148</v>
      </c>
      <c r="M29" s="2" t="s">
        <v>42</v>
      </c>
      <c r="N29" s="3" t="s">
        <v>43</v>
      </c>
      <c r="O29" s="6" t="n">
        <f aca="false">IF(AND(J29="Amazon.ca",G29&gt;0,ISERROR(SEARCH("ALTERNATIVE",A29))),MAX(O$1:O28)+1,"")</f>
        <v>22</v>
      </c>
    </row>
    <row r="30" customFormat="false" ht="28.35" hidden="false" customHeight="false" outlineLevel="0" collapsed="false">
      <c r="A30" s="2" t="s">
        <v>74</v>
      </c>
      <c r="B30" s="3" t="s">
        <v>149</v>
      </c>
      <c r="C30" s="3" t="s">
        <v>150</v>
      </c>
      <c r="D30" s="3" t="s">
        <v>151</v>
      </c>
      <c r="E30" s="2" t="n">
        <v>1</v>
      </c>
      <c r="F30" s="4" t="b">
        <f aca="false">FALSE()</f>
        <v>0</v>
      </c>
      <c r="G30" s="2" t="n">
        <f aca="false">IF(OR(F30=TRUE(),F30="TRUE"),0,E30)</f>
        <v>1</v>
      </c>
      <c r="H30" s="5" t="n">
        <v>20.49</v>
      </c>
      <c r="I30" s="5" t="n">
        <f aca="false">IF(H30="","",G30*H30)</f>
        <v>20.49</v>
      </c>
      <c r="J30" s="2" t="s">
        <v>39</v>
      </c>
      <c r="K30" s="7" t="s">
        <v>152</v>
      </c>
      <c r="L30" s="7" t="s">
        <v>153</v>
      </c>
      <c r="M30" s="2" t="s">
        <v>42</v>
      </c>
      <c r="N30" s="3" t="s">
        <v>43</v>
      </c>
      <c r="O30" s="6" t="n">
        <f aca="false">IF(AND(J30="Amazon.ca",G30&gt;0,ISERROR(SEARCH("ALTERNATIVE",A30))),MAX(O$1:O29)+1,"")</f>
        <v>23</v>
      </c>
    </row>
    <row r="31" customFormat="false" ht="55.2" hidden="false" customHeight="false" outlineLevel="0" collapsed="false">
      <c r="A31" s="2" t="s">
        <v>154</v>
      </c>
      <c r="B31" s="3" t="s">
        <v>155</v>
      </c>
      <c r="C31" s="3" t="s">
        <v>156</v>
      </c>
      <c r="D31" s="3" t="s">
        <v>157</v>
      </c>
      <c r="E31" s="2" t="n">
        <v>3</v>
      </c>
      <c r="F31" s="4" t="b">
        <f aca="false">FALSE()</f>
        <v>0</v>
      </c>
      <c r="G31" s="2" t="n">
        <f aca="false">IF(OR(F31=TRUE(),F31="TRUE"),0,E31)</f>
        <v>3</v>
      </c>
      <c r="H31" s="5" t="n">
        <v>8.45</v>
      </c>
      <c r="I31" s="5" t="n">
        <f aca="false">IF(H31="","",G31*H31)</f>
        <v>25.35</v>
      </c>
      <c r="J31" s="2" t="s">
        <v>39</v>
      </c>
      <c r="K31" s="7" t="s">
        <v>158</v>
      </c>
      <c r="L31" s="7" t="s">
        <v>159</v>
      </c>
      <c r="M31" s="2" t="s">
        <v>42</v>
      </c>
      <c r="N31" s="3" t="s">
        <v>43</v>
      </c>
      <c r="O31" s="6" t="n">
        <f aca="false">IF(AND(J31="Amazon.ca",G31&gt;0,ISERROR(SEARCH("ALTERNATIVE",A31))),MAX(O$1:O30)+1,"")</f>
        <v>24</v>
      </c>
    </row>
    <row r="32" customFormat="false" ht="41.75" hidden="false" customHeight="false" outlineLevel="0" collapsed="false">
      <c r="A32" s="2" t="s">
        <v>154</v>
      </c>
      <c r="B32" s="3" t="s">
        <v>160</v>
      </c>
      <c r="C32" s="3" t="s">
        <v>161</v>
      </c>
      <c r="D32" s="3" t="s">
        <v>162</v>
      </c>
      <c r="E32" s="2" t="n">
        <v>1</v>
      </c>
      <c r="F32" s="4" t="b">
        <f aca="false">FALSE()</f>
        <v>0</v>
      </c>
      <c r="G32" s="2" t="n">
        <f aca="false">IF(OR(F32=TRUE(),F32="TRUE"),0,E32)</f>
        <v>1</v>
      </c>
      <c r="H32" s="5" t="n">
        <v>12.99</v>
      </c>
      <c r="I32" s="5" t="n">
        <f aca="false">IF(H32="","",G32*H32)</f>
        <v>12.99</v>
      </c>
      <c r="J32" s="2" t="s">
        <v>39</v>
      </c>
      <c r="K32" s="7" t="s">
        <v>163</v>
      </c>
      <c r="L32" s="7" t="s">
        <v>164</v>
      </c>
      <c r="M32" s="2" t="s">
        <v>42</v>
      </c>
      <c r="N32" s="3" t="s">
        <v>43</v>
      </c>
      <c r="O32" s="6" t="n">
        <f aca="false">IF(AND(J32="Amazon.ca",G32&gt;0,ISERROR(SEARCH("ALTERNATIVE",A32))),MAX(O$1:O31)+1,"")</f>
        <v>25</v>
      </c>
    </row>
    <row r="33" customFormat="false" ht="41.75" hidden="false" customHeight="false" outlineLevel="0" collapsed="false">
      <c r="A33" s="2" t="s">
        <v>154</v>
      </c>
      <c r="B33" s="3" t="s">
        <v>165</v>
      </c>
      <c r="C33" s="3" t="s">
        <v>166</v>
      </c>
      <c r="D33" s="3" t="s">
        <v>167</v>
      </c>
      <c r="E33" s="2" t="n">
        <v>2</v>
      </c>
      <c r="F33" s="4" t="b">
        <f aca="false">FALSE()</f>
        <v>0</v>
      </c>
      <c r="G33" s="2" t="n">
        <f aca="false">IF(OR(F33=TRUE(),F33="TRUE"),0,E33)</f>
        <v>2</v>
      </c>
      <c r="H33" s="5" t="n">
        <v>19.49</v>
      </c>
      <c r="I33" s="5" t="n">
        <f aca="false">IF(H33="","",G33*H33)</f>
        <v>38.98</v>
      </c>
      <c r="J33" s="2" t="s">
        <v>39</v>
      </c>
      <c r="K33" s="7" t="s">
        <v>168</v>
      </c>
      <c r="L33" s="7" t="s">
        <v>169</v>
      </c>
      <c r="M33" s="2" t="s">
        <v>42</v>
      </c>
      <c r="N33" s="3" t="s">
        <v>43</v>
      </c>
      <c r="O33" s="6" t="n">
        <f aca="false">IF(AND(J33="Amazon.ca",G33&gt;0,ISERROR(SEARCH("ALTERNATIVE",A33))),MAX(O$1:O32)+1,"")</f>
        <v>26</v>
      </c>
    </row>
    <row r="34" customFormat="false" ht="41.75" hidden="false" customHeight="false" outlineLevel="0" collapsed="false">
      <c r="A34" s="2" t="s">
        <v>154</v>
      </c>
      <c r="B34" s="3" t="s">
        <v>170</v>
      </c>
      <c r="C34" s="3" t="s">
        <v>171</v>
      </c>
      <c r="D34" s="3" t="s">
        <v>172</v>
      </c>
      <c r="E34" s="2" t="n">
        <v>2</v>
      </c>
      <c r="F34" s="4" t="b">
        <f aca="false">FALSE()</f>
        <v>0</v>
      </c>
      <c r="G34" s="2" t="n">
        <f aca="false">IF(OR(F34=TRUE(),F34="TRUE"),0,E34)</f>
        <v>2</v>
      </c>
      <c r="H34" s="5" t="n">
        <v>15.39</v>
      </c>
      <c r="I34" s="5" t="n">
        <f aca="false">IF(H34="","",G34*H34)</f>
        <v>30.78</v>
      </c>
      <c r="J34" s="2" t="s">
        <v>39</v>
      </c>
      <c r="K34" s="7" t="s">
        <v>173</v>
      </c>
      <c r="L34" s="7" t="s">
        <v>174</v>
      </c>
      <c r="M34" s="2" t="s">
        <v>42</v>
      </c>
      <c r="N34" s="3" t="s">
        <v>43</v>
      </c>
      <c r="O34" s="6" t="n">
        <f aca="false">IF(AND(J34="Amazon.ca",G34&gt;0,ISERROR(SEARCH("ALTERNATIVE",A34))),MAX(O$1:O33)+1,"")</f>
        <v>27</v>
      </c>
    </row>
    <row r="35" customFormat="false" ht="41.75" hidden="false" customHeight="false" outlineLevel="0" collapsed="false">
      <c r="A35" s="2" t="s">
        <v>154</v>
      </c>
      <c r="B35" s="3" t="s">
        <v>175</v>
      </c>
      <c r="C35" s="3" t="s">
        <v>176</v>
      </c>
      <c r="D35" s="3" t="s">
        <v>177</v>
      </c>
      <c r="E35" s="2" t="n">
        <v>2</v>
      </c>
      <c r="F35" s="4" t="b">
        <f aca="false">FALSE()</f>
        <v>0</v>
      </c>
      <c r="G35" s="2" t="n">
        <f aca="false">IF(OR(F35=TRUE(),F35="TRUE"),0,E35)</f>
        <v>2</v>
      </c>
      <c r="H35" s="5" t="n">
        <v>11.99</v>
      </c>
      <c r="I35" s="5" t="n">
        <f aca="false">IF(H35="","",G35*H35)</f>
        <v>23.98</v>
      </c>
      <c r="J35" s="2" t="s">
        <v>39</v>
      </c>
      <c r="K35" s="7" t="s">
        <v>178</v>
      </c>
      <c r="L35" s="7" t="s">
        <v>179</v>
      </c>
      <c r="M35" s="2" t="s">
        <v>42</v>
      </c>
      <c r="N35" s="3" t="s">
        <v>43</v>
      </c>
      <c r="O35" s="6" t="n">
        <f aca="false">IF(AND(J35="Amazon.ca",G35&gt;0,ISERROR(SEARCH("ALTERNATIVE",A35))),MAX(O$1:O34)+1,"")</f>
        <v>28</v>
      </c>
    </row>
    <row r="36" customFormat="false" ht="41.75" hidden="false" customHeight="false" outlineLevel="0" collapsed="false">
      <c r="A36" s="2" t="s">
        <v>154</v>
      </c>
      <c r="B36" s="3" t="s">
        <v>180</v>
      </c>
      <c r="C36" s="3" t="s">
        <v>181</v>
      </c>
      <c r="D36" s="3" t="s">
        <v>182</v>
      </c>
      <c r="E36" s="2" t="n">
        <v>1</v>
      </c>
      <c r="F36" s="4" t="b">
        <f aca="false">FALSE()</f>
        <v>0</v>
      </c>
      <c r="G36" s="2" t="n">
        <f aca="false">IF(OR(F36=TRUE(),F36="TRUE"),0,E36)</f>
        <v>1</v>
      </c>
      <c r="H36" s="5" t="n">
        <v>17.99</v>
      </c>
      <c r="I36" s="5" t="n">
        <f aca="false">IF(H36="","",G36*H36)</f>
        <v>17.99</v>
      </c>
      <c r="J36" s="2" t="s">
        <v>39</v>
      </c>
      <c r="K36" s="7" t="s">
        <v>183</v>
      </c>
      <c r="L36" s="7" t="s">
        <v>184</v>
      </c>
      <c r="M36" s="2" t="s">
        <v>42</v>
      </c>
      <c r="N36" s="3" t="s">
        <v>43</v>
      </c>
      <c r="O36" s="6" t="n">
        <f aca="false">IF(AND(J36="Amazon.ca",G36&gt;0,ISERROR(SEARCH("ALTERNATIVE",A36))),MAX(O$1:O35)+1,"")</f>
        <v>29</v>
      </c>
    </row>
    <row r="37" customFormat="false" ht="28.35" hidden="false" customHeight="false" outlineLevel="0" collapsed="false">
      <c r="A37" s="2" t="s">
        <v>154</v>
      </c>
      <c r="B37" s="3" t="s">
        <v>185</v>
      </c>
      <c r="C37" s="3" t="s">
        <v>186</v>
      </c>
      <c r="D37" s="3" t="s">
        <v>187</v>
      </c>
      <c r="E37" s="2" t="n">
        <v>1</v>
      </c>
      <c r="F37" s="4" t="b">
        <f aca="false">FALSE()</f>
        <v>0</v>
      </c>
      <c r="G37" s="2" t="n">
        <f aca="false">IF(OR(F37=TRUE(),F37="TRUE"),0,E37)</f>
        <v>1</v>
      </c>
      <c r="H37" s="5" t="n">
        <v>6.95</v>
      </c>
      <c r="I37" s="5" t="n">
        <f aca="false">IF(H37="","",G37*H37)</f>
        <v>6.95</v>
      </c>
      <c r="J37" s="2" t="s">
        <v>39</v>
      </c>
      <c r="K37" s="7" t="s">
        <v>188</v>
      </c>
      <c r="L37" s="7" t="s">
        <v>189</v>
      </c>
      <c r="M37" s="2" t="s">
        <v>42</v>
      </c>
      <c r="N37" s="3" t="s">
        <v>43</v>
      </c>
      <c r="O37" s="6" t="n">
        <f aca="false">IF(AND(J37="Amazon.ca",G37&gt;0,ISERROR(SEARCH("ALTERNATIVE",A37))),MAX(O$1:O36)+1,"")</f>
        <v>30</v>
      </c>
    </row>
    <row r="38" customFormat="false" ht="28.35" hidden="false" customHeight="false" outlineLevel="0" collapsed="false">
      <c r="A38" s="2" t="s">
        <v>154</v>
      </c>
      <c r="B38" s="3" t="s">
        <v>190</v>
      </c>
      <c r="C38" s="3" t="s">
        <v>191</v>
      </c>
      <c r="D38" s="3" t="s">
        <v>192</v>
      </c>
      <c r="E38" s="2" t="n">
        <v>1</v>
      </c>
      <c r="F38" s="4" t="b">
        <f aca="false">FALSE()</f>
        <v>0</v>
      </c>
      <c r="G38" s="2" t="n">
        <f aca="false">IF(OR(F38=TRUE(),F38="TRUE"),0,E38)</f>
        <v>1</v>
      </c>
      <c r="H38" s="5" t="n">
        <v>15.79</v>
      </c>
      <c r="I38" s="5" t="n">
        <f aca="false">IF(H38="","",G38*H38)</f>
        <v>15.79</v>
      </c>
      <c r="J38" s="2" t="s">
        <v>39</v>
      </c>
      <c r="K38" s="7" t="s">
        <v>193</v>
      </c>
      <c r="L38" s="7" t="s">
        <v>194</v>
      </c>
      <c r="M38" s="2" t="s">
        <v>42</v>
      </c>
      <c r="N38" s="3" t="s">
        <v>43</v>
      </c>
      <c r="O38" s="6" t="n">
        <f aca="false">IF(AND(J38="Amazon.ca",G38&gt;0,ISERROR(SEARCH("ALTERNATIVE",A38))),MAX(O$1:O37)+1,"")</f>
        <v>31</v>
      </c>
    </row>
    <row r="39" customFormat="false" ht="41.75" hidden="false" customHeight="false" outlineLevel="0" collapsed="false">
      <c r="A39" s="2" t="s">
        <v>154</v>
      </c>
      <c r="B39" s="3" t="s">
        <v>195</v>
      </c>
      <c r="C39" s="3" t="s">
        <v>196</v>
      </c>
      <c r="D39" s="3" t="s">
        <v>197</v>
      </c>
      <c r="E39" s="2" t="n">
        <v>1</v>
      </c>
      <c r="F39" s="4" t="b">
        <f aca="false">FALSE()</f>
        <v>0</v>
      </c>
      <c r="G39" s="2" t="n">
        <f aca="false">IF(OR(F39=TRUE(),F39="TRUE"),0,E39)</f>
        <v>1</v>
      </c>
      <c r="H39" s="5" t="n">
        <v>26.11</v>
      </c>
      <c r="I39" s="5" t="n">
        <f aca="false">IF(H39="","",G39*H39)</f>
        <v>26.11</v>
      </c>
      <c r="J39" s="2" t="s">
        <v>39</v>
      </c>
      <c r="K39" s="7" t="s">
        <v>198</v>
      </c>
      <c r="L39" s="7" t="s">
        <v>199</v>
      </c>
      <c r="M39" s="2" t="s">
        <v>42</v>
      </c>
      <c r="N39" s="3" t="s">
        <v>43</v>
      </c>
      <c r="O39" s="6" t="n">
        <f aca="false">IF(AND(J39="Amazon.ca",G39&gt;0,ISERROR(SEARCH("ALTERNATIVE",A39))),MAX(O$1:O38)+1,"")</f>
        <v>32</v>
      </c>
    </row>
    <row r="40" customFormat="false" ht="55.2" hidden="false" customHeight="false" outlineLevel="0" collapsed="false">
      <c r="A40" s="2" t="s">
        <v>200</v>
      </c>
      <c r="B40" s="3" t="s">
        <v>201</v>
      </c>
      <c r="C40" s="3" t="s">
        <v>202</v>
      </c>
      <c r="D40" s="3" t="s">
        <v>203</v>
      </c>
      <c r="E40" s="2" t="n">
        <v>1</v>
      </c>
      <c r="F40" s="4" t="b">
        <f aca="false">FALSE()</f>
        <v>0</v>
      </c>
      <c r="G40" s="2" t="n">
        <f aca="false">IF(OR(F40=TRUE(),F40="TRUE"),0,E40)</f>
        <v>1</v>
      </c>
      <c r="H40" s="5" t="n">
        <v>25.99</v>
      </c>
      <c r="I40" s="5" t="n">
        <f aca="false">IF(H40="","",G40*H40)</f>
        <v>25.99</v>
      </c>
      <c r="J40" s="2" t="s">
        <v>39</v>
      </c>
      <c r="K40" s="7" t="s">
        <v>204</v>
      </c>
      <c r="L40" s="7" t="s">
        <v>205</v>
      </c>
      <c r="M40" s="2" t="s">
        <v>42</v>
      </c>
      <c r="N40" s="3" t="s">
        <v>43</v>
      </c>
      <c r="O40" s="6" t="n">
        <f aca="false">IF(AND(J40="Amazon.ca",G40&gt;0,ISERROR(SEARCH("ALTERNATIVE",A40))),MAX(O$1:O39)+1,"")</f>
        <v>33</v>
      </c>
    </row>
    <row r="41" customFormat="false" ht="41.75" hidden="false" customHeight="false" outlineLevel="0" collapsed="false">
      <c r="A41" s="2" t="s">
        <v>200</v>
      </c>
      <c r="B41" s="3" t="s">
        <v>206</v>
      </c>
      <c r="C41" s="3" t="s">
        <v>207</v>
      </c>
      <c r="D41" s="3" t="s">
        <v>208</v>
      </c>
      <c r="E41" s="2" t="n">
        <v>1</v>
      </c>
      <c r="F41" s="4" t="b">
        <f aca="false">FALSE()</f>
        <v>0</v>
      </c>
      <c r="G41" s="2" t="n">
        <f aca="false">IF(OR(F41=TRUE(),F41="TRUE"),0,E41)</f>
        <v>1</v>
      </c>
      <c r="H41" s="5" t="n">
        <v>20</v>
      </c>
      <c r="I41" s="5" t="n">
        <f aca="false">IF(H41="","",G41*H41)</f>
        <v>20</v>
      </c>
      <c r="J41" s="2" t="s">
        <v>39</v>
      </c>
      <c r="K41" s="2"/>
      <c r="L41" s="7" t="s">
        <v>209</v>
      </c>
      <c r="M41" s="2"/>
      <c r="N41" s="3" t="s">
        <v>210</v>
      </c>
      <c r="O41" s="6" t="n">
        <f aca="false">IF(AND(J41="Amazon.ca",G41&gt;0,ISERROR(SEARCH("ALTERNATIVE",A41))),MAX(O$1:O40)+1,"")</f>
        <v>34</v>
      </c>
    </row>
    <row r="42" customFormat="false" ht="41.75" hidden="false" customHeight="false" outlineLevel="0" collapsed="false">
      <c r="A42" s="2" t="s">
        <v>200</v>
      </c>
      <c r="B42" s="3" t="s">
        <v>211</v>
      </c>
      <c r="C42" s="3" t="s">
        <v>212</v>
      </c>
      <c r="D42" s="3" t="s">
        <v>213</v>
      </c>
      <c r="E42" s="2" t="n">
        <v>1</v>
      </c>
      <c r="F42" s="4" t="b">
        <f aca="false">FALSE()</f>
        <v>0</v>
      </c>
      <c r="G42" s="2" t="n">
        <f aca="false">IF(OR(F42=TRUE(),F42="TRUE"),0,E42)</f>
        <v>1</v>
      </c>
      <c r="H42" s="5" t="n">
        <v>9.19</v>
      </c>
      <c r="I42" s="5" t="n">
        <f aca="false">IF(H42="","",G42*H42)</f>
        <v>9.19</v>
      </c>
      <c r="J42" s="2" t="s">
        <v>39</v>
      </c>
      <c r="K42" s="7" t="s">
        <v>214</v>
      </c>
      <c r="L42" s="7" t="s">
        <v>215</v>
      </c>
      <c r="M42" s="2" t="s">
        <v>42</v>
      </c>
      <c r="N42" s="3" t="s">
        <v>43</v>
      </c>
      <c r="O42" s="6" t="n">
        <f aca="false">IF(AND(J42="Amazon.ca",G42&gt;0,ISERROR(SEARCH("ALTERNATIVE",A42))),MAX(O$1:O41)+1,"")</f>
        <v>35</v>
      </c>
    </row>
    <row r="43" customFormat="false" ht="41.75" hidden="false" customHeight="false" outlineLevel="0" collapsed="false">
      <c r="A43" s="2" t="s">
        <v>200</v>
      </c>
      <c r="B43" s="3" t="s">
        <v>216</v>
      </c>
      <c r="C43" s="3" t="s">
        <v>217</v>
      </c>
      <c r="D43" s="3" t="s">
        <v>218</v>
      </c>
      <c r="E43" s="2" t="n">
        <v>1</v>
      </c>
      <c r="F43" s="4" t="b">
        <f aca="false">FALSE()</f>
        <v>0</v>
      </c>
      <c r="G43" s="2" t="n">
        <f aca="false">IF(OR(F43=TRUE(),F43="TRUE"),0,E43)</f>
        <v>1</v>
      </c>
      <c r="H43" s="5" t="n">
        <v>31.75</v>
      </c>
      <c r="I43" s="5" t="n">
        <f aca="false">IF(H43="","",G43*H43)</f>
        <v>31.75</v>
      </c>
      <c r="J43" s="2" t="s">
        <v>39</v>
      </c>
      <c r="K43" s="7" t="s">
        <v>219</v>
      </c>
      <c r="L43" s="7" t="s">
        <v>220</v>
      </c>
      <c r="M43" s="2" t="s">
        <v>42</v>
      </c>
      <c r="N43" s="3" t="s">
        <v>43</v>
      </c>
      <c r="O43" s="6" t="n">
        <f aca="false">IF(AND(J43="Amazon.ca",G43&gt;0,ISERROR(SEARCH("ALTERNATIVE",A43))),MAX(O$1:O42)+1,"")</f>
        <v>36</v>
      </c>
    </row>
    <row r="44" customFormat="false" ht="28.35" hidden="false" customHeight="false" outlineLevel="0" collapsed="false">
      <c r="A44" s="2" t="s">
        <v>200</v>
      </c>
      <c r="B44" s="3" t="s">
        <v>221</v>
      </c>
      <c r="C44" s="3" t="s">
        <v>222</v>
      </c>
      <c r="D44" s="3" t="s">
        <v>223</v>
      </c>
      <c r="E44" s="2" t="n">
        <v>1</v>
      </c>
      <c r="F44" s="4" t="b">
        <f aca="false">FALSE()</f>
        <v>0</v>
      </c>
      <c r="G44" s="2" t="n">
        <f aca="false">IF(OR(F44=TRUE(),F44="TRUE"),0,E44)</f>
        <v>1</v>
      </c>
      <c r="H44" s="5" t="n">
        <v>14.99</v>
      </c>
      <c r="I44" s="5" t="n">
        <f aca="false">IF(H44="","",G44*H44)</f>
        <v>14.99</v>
      </c>
      <c r="J44" s="2" t="s">
        <v>39</v>
      </c>
      <c r="K44" s="7" t="s">
        <v>224</v>
      </c>
      <c r="L44" s="7" t="s">
        <v>225</v>
      </c>
      <c r="M44" s="2" t="s">
        <v>42</v>
      </c>
      <c r="N44" s="3" t="s">
        <v>43</v>
      </c>
      <c r="O44" s="6" t="n">
        <f aca="false">IF(AND(J44="Amazon.ca",G44&gt;0,ISERROR(SEARCH("ALTERNATIVE",A44))),MAX(O$1:O43)+1,"")</f>
        <v>37</v>
      </c>
    </row>
    <row r="45" customFormat="false" ht="41.75" hidden="false" customHeight="false" outlineLevel="0" collapsed="false">
      <c r="A45" s="2" t="s">
        <v>200</v>
      </c>
      <c r="B45" s="3" t="s">
        <v>226</v>
      </c>
      <c r="C45" s="3" t="s">
        <v>227</v>
      </c>
      <c r="D45" s="3" t="s">
        <v>228</v>
      </c>
      <c r="E45" s="2" t="n">
        <v>1</v>
      </c>
      <c r="F45" s="4" t="b">
        <f aca="false">FALSE()</f>
        <v>0</v>
      </c>
      <c r="G45" s="2" t="n">
        <f aca="false">IF(OR(F45=TRUE(),F45="TRUE"),0,E45)</f>
        <v>1</v>
      </c>
      <c r="H45" s="5" t="n">
        <v>16.99</v>
      </c>
      <c r="I45" s="5" t="n">
        <f aca="false">IF(H45="","",G45*H45)</f>
        <v>16.99</v>
      </c>
      <c r="J45" s="2" t="s">
        <v>39</v>
      </c>
      <c r="K45" s="7" t="s">
        <v>229</v>
      </c>
      <c r="L45" s="7" t="s">
        <v>230</v>
      </c>
      <c r="M45" s="2" t="s">
        <v>42</v>
      </c>
      <c r="N45" s="3" t="s">
        <v>43</v>
      </c>
      <c r="O45" s="6" t="n">
        <f aca="false">IF(AND(J45="Amazon.ca",G45&gt;0,ISERROR(SEARCH("ALTERNATIVE",A45))),MAX(O$1:O44)+1,"")</f>
        <v>38</v>
      </c>
    </row>
    <row r="46" customFormat="false" ht="28.35" hidden="false" customHeight="false" outlineLevel="0" collapsed="false">
      <c r="A46" s="2" t="s">
        <v>200</v>
      </c>
      <c r="B46" s="3" t="s">
        <v>231</v>
      </c>
      <c r="C46" s="3" t="s">
        <v>232</v>
      </c>
      <c r="D46" s="3" t="s">
        <v>233</v>
      </c>
      <c r="E46" s="2" t="n">
        <v>2</v>
      </c>
      <c r="F46" s="4" t="b">
        <f aca="false">FALSE()</f>
        <v>0</v>
      </c>
      <c r="G46" s="2" t="n">
        <f aca="false">IF(OR(F46=TRUE(),F46="TRUE"),0,E46)</f>
        <v>2</v>
      </c>
      <c r="H46" s="5" t="n">
        <v>19.82</v>
      </c>
      <c r="I46" s="5" t="n">
        <f aca="false">IF(H46="","",G46*H46)</f>
        <v>39.64</v>
      </c>
      <c r="J46" s="2" t="s">
        <v>39</v>
      </c>
      <c r="K46" s="7" t="s">
        <v>234</v>
      </c>
      <c r="L46" s="7" t="s">
        <v>235</v>
      </c>
      <c r="M46" s="2" t="s">
        <v>42</v>
      </c>
      <c r="N46" s="3" t="s">
        <v>43</v>
      </c>
      <c r="O46" s="6" t="n">
        <f aca="false">IF(AND(J46="Amazon.ca",G46&gt;0,ISERROR(SEARCH("ALTERNATIVE",A46))),MAX(O$1:O45)+1,"")</f>
        <v>39</v>
      </c>
    </row>
    <row r="47" customFormat="false" ht="41.75" hidden="false" customHeight="false" outlineLevel="0" collapsed="false">
      <c r="A47" s="2" t="s">
        <v>200</v>
      </c>
      <c r="B47" s="3" t="s">
        <v>236</v>
      </c>
      <c r="C47" s="3" t="s">
        <v>237</v>
      </c>
      <c r="D47" s="3" t="s">
        <v>238</v>
      </c>
      <c r="E47" s="2" t="n">
        <v>1</v>
      </c>
      <c r="F47" s="4" t="b">
        <f aca="false">FALSE()</f>
        <v>0</v>
      </c>
      <c r="G47" s="2" t="n">
        <f aca="false">IF(OR(F47=TRUE(),F47="TRUE"),0,E47)</f>
        <v>1</v>
      </c>
      <c r="H47" s="5" t="n">
        <v>18.59</v>
      </c>
      <c r="I47" s="5" t="n">
        <f aca="false">IF(H47="","",G47*H47)</f>
        <v>18.59</v>
      </c>
      <c r="J47" s="2" t="s">
        <v>39</v>
      </c>
      <c r="K47" s="7" t="s">
        <v>239</v>
      </c>
      <c r="L47" s="7" t="s">
        <v>240</v>
      </c>
      <c r="M47" s="2" t="s">
        <v>42</v>
      </c>
      <c r="N47" s="3" t="s">
        <v>43</v>
      </c>
      <c r="O47" s="6" t="n">
        <f aca="false">IF(AND(J47="Amazon.ca",G47&gt;0,ISERROR(SEARCH("ALTERNATIVE",A47))),MAX(O$1:O46)+1,"")</f>
        <v>40</v>
      </c>
    </row>
    <row r="48" customFormat="false" ht="41.75" hidden="false" customHeight="false" outlineLevel="0" collapsed="false">
      <c r="A48" s="2" t="s">
        <v>241</v>
      </c>
      <c r="B48" s="3" t="s">
        <v>242</v>
      </c>
      <c r="C48" s="3" t="s">
        <v>243</v>
      </c>
      <c r="D48" s="3" t="s">
        <v>244</v>
      </c>
      <c r="E48" s="2" t="n">
        <v>6</v>
      </c>
      <c r="F48" s="4" t="b">
        <f aca="false">FALSE()</f>
        <v>0</v>
      </c>
      <c r="G48" s="2" t="n">
        <f aca="false">IF(OR(F48=TRUE(),F48="TRUE"),0,E48)</f>
        <v>6</v>
      </c>
      <c r="H48" s="5" t="n">
        <v>19.94</v>
      </c>
      <c r="I48" s="5" t="n">
        <f aca="false">IF(H48="","",G48*H48)</f>
        <v>119.64</v>
      </c>
      <c r="J48" s="2" t="s">
        <v>39</v>
      </c>
      <c r="K48" s="7" t="s">
        <v>245</v>
      </c>
      <c r="L48" s="7" t="s">
        <v>246</v>
      </c>
      <c r="M48" s="2" t="s">
        <v>42</v>
      </c>
      <c r="N48" s="3" t="s">
        <v>43</v>
      </c>
      <c r="O48" s="6" t="n">
        <f aca="false">IF(AND(J48="Amazon.ca",G48&gt;0,ISERROR(SEARCH("ALTERNATIVE",A48))),MAX(O$1:O47)+1,"")</f>
        <v>41</v>
      </c>
    </row>
    <row r="49" customFormat="false" ht="28.35" hidden="false" customHeight="false" outlineLevel="0" collapsed="false">
      <c r="A49" s="2" t="s">
        <v>241</v>
      </c>
      <c r="B49" s="3" t="s">
        <v>247</v>
      </c>
      <c r="C49" s="3" t="s">
        <v>248</v>
      </c>
      <c r="D49" s="3" t="s">
        <v>249</v>
      </c>
      <c r="E49" s="2" t="n">
        <v>1</v>
      </c>
      <c r="F49" s="4" t="b">
        <f aca="false">FALSE()</f>
        <v>0</v>
      </c>
      <c r="G49" s="2" t="n">
        <f aca="false">IF(OR(F49=TRUE(),F49="TRUE"),0,E49)</f>
        <v>1</v>
      </c>
      <c r="H49" s="5" t="n">
        <v>20.89</v>
      </c>
      <c r="I49" s="5" t="n">
        <f aca="false">IF(H49="","",G49*H49)</f>
        <v>20.89</v>
      </c>
      <c r="J49" s="2" t="s">
        <v>39</v>
      </c>
      <c r="K49" s="7" t="s">
        <v>250</v>
      </c>
      <c r="L49" s="7" t="s">
        <v>251</v>
      </c>
      <c r="M49" s="2" t="s">
        <v>42</v>
      </c>
      <c r="N49" s="3" t="s">
        <v>43</v>
      </c>
      <c r="O49" s="6" t="n">
        <f aca="false">IF(AND(J49="Amazon.ca",G49&gt;0,ISERROR(SEARCH("ALTERNATIVE",A49))),MAX(O$1:O48)+1,"")</f>
        <v>42</v>
      </c>
    </row>
    <row r="50" customFormat="false" ht="41.75" hidden="false" customHeight="false" outlineLevel="0" collapsed="false">
      <c r="A50" s="2" t="s">
        <v>241</v>
      </c>
      <c r="B50" s="3" t="s">
        <v>252</v>
      </c>
      <c r="C50" s="3" t="s">
        <v>253</v>
      </c>
      <c r="D50" s="3" t="s">
        <v>254</v>
      </c>
      <c r="E50" s="2" t="n">
        <v>1</v>
      </c>
      <c r="F50" s="4" t="b">
        <f aca="false">FALSE()</f>
        <v>0</v>
      </c>
      <c r="G50" s="2" t="n">
        <f aca="false">IF(OR(F50=TRUE(),F50="TRUE"),0,E50)</f>
        <v>1</v>
      </c>
      <c r="H50" s="5" t="n">
        <v>26.99</v>
      </c>
      <c r="I50" s="5" t="n">
        <f aca="false">IF(H50="","",G50*H50)</f>
        <v>26.99</v>
      </c>
      <c r="J50" s="2" t="s">
        <v>39</v>
      </c>
      <c r="K50" s="7" t="s">
        <v>255</v>
      </c>
      <c r="L50" s="7" t="s">
        <v>256</v>
      </c>
      <c r="M50" s="2" t="s">
        <v>42</v>
      </c>
      <c r="N50" s="3" t="s">
        <v>43</v>
      </c>
      <c r="O50" s="6" t="n">
        <f aca="false">IF(AND(J50="Amazon.ca",G50&gt;0,ISERROR(SEARCH("ALTERNATIVE",A50))),MAX(O$1:O49)+1,"")</f>
        <v>43</v>
      </c>
    </row>
    <row r="51" customFormat="false" ht="41.75" hidden="false" customHeight="false" outlineLevel="0" collapsed="false">
      <c r="A51" s="2" t="s">
        <v>241</v>
      </c>
      <c r="B51" s="3" t="s">
        <v>257</v>
      </c>
      <c r="C51" s="3" t="s">
        <v>258</v>
      </c>
      <c r="D51" s="3" t="s">
        <v>259</v>
      </c>
      <c r="E51" s="2" t="n">
        <v>1</v>
      </c>
      <c r="F51" s="4" t="b">
        <f aca="false">FALSE()</f>
        <v>0</v>
      </c>
      <c r="G51" s="2" t="n">
        <f aca="false">IF(OR(F51=TRUE(),F51="TRUE"),0,E51)</f>
        <v>1</v>
      </c>
      <c r="H51" s="5" t="n">
        <v>28.99</v>
      </c>
      <c r="I51" s="5" t="n">
        <f aca="false">IF(H51="","",G51*H51)</f>
        <v>28.99</v>
      </c>
      <c r="J51" s="2" t="s">
        <v>39</v>
      </c>
      <c r="K51" s="7" t="s">
        <v>260</v>
      </c>
      <c r="L51" s="7" t="s">
        <v>261</v>
      </c>
      <c r="M51" s="2" t="s">
        <v>42</v>
      </c>
      <c r="N51" s="3" t="s">
        <v>43</v>
      </c>
      <c r="O51" s="6" t="n">
        <f aca="false">IF(AND(J51="Amazon.ca",G51&gt;0,ISERROR(SEARCH("ALTERNATIVE",A51))),MAX(O$1:O50)+1,"")</f>
        <v>44</v>
      </c>
    </row>
    <row r="52" customFormat="false" ht="41.75" hidden="false" customHeight="false" outlineLevel="0" collapsed="false">
      <c r="A52" s="2" t="s">
        <v>241</v>
      </c>
      <c r="B52" s="3" t="s">
        <v>262</v>
      </c>
      <c r="C52" s="3" t="s">
        <v>263</v>
      </c>
      <c r="D52" s="3" t="s">
        <v>264</v>
      </c>
      <c r="E52" s="2" t="n">
        <v>1</v>
      </c>
      <c r="F52" s="4" t="b">
        <f aca="false">FALSE()</f>
        <v>0</v>
      </c>
      <c r="G52" s="2" t="n">
        <f aca="false">IF(OR(F52=TRUE(),F52="TRUE"),0,E52)</f>
        <v>1</v>
      </c>
      <c r="H52" s="5" t="n">
        <v>16.99</v>
      </c>
      <c r="I52" s="5" t="n">
        <f aca="false">IF(H52="","",G52*H52)</f>
        <v>16.99</v>
      </c>
      <c r="J52" s="2" t="s">
        <v>39</v>
      </c>
      <c r="K52" s="7" t="s">
        <v>265</v>
      </c>
      <c r="L52" s="7" t="s">
        <v>266</v>
      </c>
      <c r="M52" s="2" t="s">
        <v>42</v>
      </c>
      <c r="N52" s="3" t="s">
        <v>43</v>
      </c>
      <c r="O52" s="6" t="n">
        <f aca="false">IF(AND(J52="Amazon.ca",G52&gt;0,ISERROR(SEARCH("ALTERNATIVE",A52))),MAX(O$1:O51)+1,"")</f>
        <v>45</v>
      </c>
    </row>
    <row r="53" customFormat="false" ht="41.75" hidden="false" customHeight="false" outlineLevel="0" collapsed="false">
      <c r="A53" s="2" t="s">
        <v>267</v>
      </c>
      <c r="B53" s="3" t="s">
        <v>268</v>
      </c>
      <c r="C53" s="3" t="s">
        <v>269</v>
      </c>
      <c r="D53" s="3" t="s">
        <v>270</v>
      </c>
      <c r="E53" s="2" t="n">
        <v>24</v>
      </c>
      <c r="F53" s="4" t="b">
        <f aca="false">FALSE()</f>
        <v>0</v>
      </c>
      <c r="G53" s="2" t="n">
        <f aca="false">IF(OR(F53=TRUE(),F53="TRUE"),0,E53)</f>
        <v>24</v>
      </c>
      <c r="H53" s="5" t="n">
        <v>3.98</v>
      </c>
      <c r="I53" s="5" t="n">
        <f aca="false">IF(H53="","",G53*H53)</f>
        <v>95.52</v>
      </c>
      <c r="J53" s="2" t="s">
        <v>271</v>
      </c>
      <c r="K53" s="7" t="s">
        <v>272</v>
      </c>
      <c r="L53" s="7" t="s">
        <v>273</v>
      </c>
      <c r="M53" s="2" t="s">
        <v>274</v>
      </c>
      <c r="N53" s="3" t="s">
        <v>275</v>
      </c>
      <c r="O53" s="6" t="str">
        <f aca="false">IF(AND(J53="Amazon.ca",G53&gt;0,ISERROR(SEARCH("ALTERNATIVE",A53))),MAX(O$1:O52)+1,"")</f>
        <v/>
      </c>
    </row>
    <row r="54" customFormat="false" ht="28.35" hidden="false" customHeight="false" outlineLevel="0" collapsed="false">
      <c r="A54" s="2" t="s">
        <v>267</v>
      </c>
      <c r="B54" s="3" t="s">
        <v>276</v>
      </c>
      <c r="C54" s="3" t="s">
        <v>277</v>
      </c>
      <c r="D54" s="3" t="s">
        <v>278</v>
      </c>
      <c r="E54" s="2" t="n">
        <v>2</v>
      </c>
      <c r="F54" s="4" t="b">
        <f aca="false">FALSE()</f>
        <v>0</v>
      </c>
      <c r="G54" s="2" t="n">
        <f aca="false">IF(OR(F54=TRUE(),F54="TRUE"),0,E54)</f>
        <v>2</v>
      </c>
      <c r="H54" s="5" t="n">
        <v>5.88</v>
      </c>
      <c r="I54" s="5" t="n">
        <f aca="false">IF(H54="","",G54*H54)</f>
        <v>11.76</v>
      </c>
      <c r="J54" s="2" t="s">
        <v>271</v>
      </c>
      <c r="K54" s="7" t="s">
        <v>279</v>
      </c>
      <c r="L54" s="7" t="s">
        <v>280</v>
      </c>
      <c r="M54" s="2" t="s">
        <v>274</v>
      </c>
      <c r="N54" s="3" t="s">
        <v>275</v>
      </c>
      <c r="O54" s="6" t="str">
        <f aca="false">IF(AND(J54="Amazon.ca",G54&gt;0,ISERROR(SEARCH("ALTERNATIVE",A54))),MAX(O$1:O53)+1,"")</f>
        <v/>
      </c>
    </row>
    <row r="55" customFormat="false" ht="28.35" hidden="false" customHeight="false" outlineLevel="0" collapsed="false">
      <c r="A55" s="2" t="s">
        <v>267</v>
      </c>
      <c r="B55" s="3" t="s">
        <v>281</v>
      </c>
      <c r="C55" s="3" t="s">
        <v>282</v>
      </c>
      <c r="D55" s="3" t="s">
        <v>283</v>
      </c>
      <c r="E55" s="2" t="n">
        <v>6</v>
      </c>
      <c r="F55" s="4" t="b">
        <f aca="false">FALSE()</f>
        <v>0</v>
      </c>
      <c r="G55" s="2" t="n">
        <f aca="false">IF(OR(F55=TRUE(),F55="TRUE"),0,E55)</f>
        <v>6</v>
      </c>
      <c r="H55" s="5" t="n">
        <v>63.98</v>
      </c>
      <c r="I55" s="5" t="n">
        <f aca="false">IF(H55="","",G55*H55)</f>
        <v>383.88</v>
      </c>
      <c r="J55" s="2" t="s">
        <v>271</v>
      </c>
      <c r="K55" s="7" t="s">
        <v>284</v>
      </c>
      <c r="L55" s="7" t="s">
        <v>285</v>
      </c>
      <c r="M55" s="2" t="s">
        <v>274</v>
      </c>
      <c r="N55" s="3" t="s">
        <v>275</v>
      </c>
      <c r="O55" s="6" t="str">
        <f aca="false">IF(AND(J55="Amazon.ca",G55&gt;0,ISERROR(SEARCH("ALTERNATIVE",A55))),MAX(O$1:O54)+1,"")</f>
        <v/>
      </c>
    </row>
    <row r="56" customFormat="false" ht="28.35" hidden="false" customHeight="false" outlineLevel="0" collapsed="false">
      <c r="A56" s="2" t="s">
        <v>267</v>
      </c>
      <c r="B56" s="3" t="s">
        <v>286</v>
      </c>
      <c r="C56" s="3" t="s">
        <v>287</v>
      </c>
      <c r="D56" s="3" t="s">
        <v>288</v>
      </c>
      <c r="E56" s="2" t="n">
        <v>4</v>
      </c>
      <c r="F56" s="4" t="b">
        <f aca="false">FALSE()</f>
        <v>0</v>
      </c>
      <c r="G56" s="2" t="n">
        <f aca="false">IF(OR(F56=TRUE(),F56="TRUE"),0,E56)</f>
        <v>4</v>
      </c>
      <c r="H56" s="5" t="n">
        <v>39.98</v>
      </c>
      <c r="I56" s="5" t="n">
        <f aca="false">IF(H56="","",G56*H56)</f>
        <v>159.92</v>
      </c>
      <c r="J56" s="2" t="s">
        <v>271</v>
      </c>
      <c r="K56" s="7" t="s">
        <v>289</v>
      </c>
      <c r="L56" s="7" t="s">
        <v>290</v>
      </c>
      <c r="M56" s="2" t="s">
        <v>274</v>
      </c>
      <c r="N56" s="3" t="s">
        <v>275</v>
      </c>
      <c r="O56" s="6" t="str">
        <f aca="false">IF(AND(J56="Amazon.ca",G56&gt;0,ISERROR(SEARCH("ALTERNATIVE",A56))),MAX(O$1:O55)+1,"")</f>
        <v/>
      </c>
    </row>
    <row r="57" customFormat="false" ht="28.35" hidden="false" customHeight="false" outlineLevel="0" collapsed="false">
      <c r="A57" s="2" t="s">
        <v>267</v>
      </c>
      <c r="B57" s="3" t="s">
        <v>291</v>
      </c>
      <c r="C57" s="3" t="s">
        <v>292</v>
      </c>
      <c r="D57" s="3" t="s">
        <v>293</v>
      </c>
      <c r="E57" s="2" t="n">
        <v>1</v>
      </c>
      <c r="F57" s="4" t="b">
        <f aca="false">FALSE()</f>
        <v>0</v>
      </c>
      <c r="G57" s="2" t="n">
        <f aca="false">IF(OR(F57=TRUE(),F57="TRUE"),0,E57)</f>
        <v>1</v>
      </c>
      <c r="H57" s="5" t="n">
        <v>24.99</v>
      </c>
      <c r="I57" s="5" t="n">
        <f aca="false">IF(H57="","",G57*H57)</f>
        <v>24.99</v>
      </c>
      <c r="J57" s="2" t="s">
        <v>271</v>
      </c>
      <c r="K57" s="7" t="s">
        <v>294</v>
      </c>
      <c r="L57" s="7" t="s">
        <v>295</v>
      </c>
      <c r="M57" s="2" t="s">
        <v>274</v>
      </c>
      <c r="N57" s="3" t="s">
        <v>275</v>
      </c>
      <c r="O57" s="6" t="str">
        <f aca="false">IF(AND(J57="Amazon.ca",G57&gt;0,ISERROR(SEARCH("ALTERNATIVE",A57))),MAX(O$1:O56)+1,"")</f>
        <v/>
      </c>
    </row>
    <row r="58" customFormat="false" ht="15" hidden="false" customHeight="false" outlineLevel="0" collapsed="false">
      <c r="A58" s="2" t="s">
        <v>296</v>
      </c>
      <c r="B58" s="3" t="s">
        <v>297</v>
      </c>
      <c r="C58" s="3" t="s">
        <v>298</v>
      </c>
      <c r="D58" s="3" t="s">
        <v>299</v>
      </c>
      <c r="E58" s="2" t="n">
        <v>1</v>
      </c>
      <c r="F58" s="4" t="b">
        <f aca="false">FALSE()</f>
        <v>0</v>
      </c>
      <c r="G58" s="2" t="n">
        <f aca="false">IF(OR(F58=TRUE(),F58="TRUE"),0,E58)</f>
        <v>1</v>
      </c>
      <c r="H58" s="5" t="n">
        <v>25</v>
      </c>
      <c r="I58" s="5" t="n">
        <f aca="false">IF(H58="","",G58*H58)</f>
        <v>25</v>
      </c>
      <c r="J58" s="2" t="s">
        <v>300</v>
      </c>
      <c r="K58" s="2"/>
      <c r="L58" s="7" t="s">
        <v>301</v>
      </c>
      <c r="M58" s="2"/>
      <c r="N58" s="3" t="s">
        <v>302</v>
      </c>
      <c r="O58" s="6" t="str">
        <f aca="false">IF(AND(J58="Amazon.ca",G58&gt;0,ISERROR(SEARCH("ALTERNATIVE",A58))),MAX(O$1:O57)+1,"")</f>
        <v/>
      </c>
    </row>
    <row r="59" customFormat="false" ht="15" hidden="false" customHeight="false" outlineLevel="0" collapsed="false">
      <c r="A59" s="2" t="s">
        <v>296</v>
      </c>
      <c r="B59" s="3" t="s">
        <v>303</v>
      </c>
      <c r="C59" s="3" t="s">
        <v>304</v>
      </c>
      <c r="D59" s="3" t="s">
        <v>299</v>
      </c>
      <c r="E59" s="2" t="n">
        <v>1</v>
      </c>
      <c r="F59" s="4" t="b">
        <f aca="false">FALSE()</f>
        <v>0</v>
      </c>
      <c r="G59" s="2" t="n">
        <f aca="false">IF(OR(F59=TRUE(),F59="TRUE"),0,E59)</f>
        <v>1</v>
      </c>
      <c r="H59" s="5" t="n">
        <v>15</v>
      </c>
      <c r="I59" s="5" t="n">
        <f aca="false">IF(H59="","",G59*H59)</f>
        <v>15</v>
      </c>
      <c r="J59" s="2" t="s">
        <v>300</v>
      </c>
      <c r="K59" s="2"/>
      <c r="L59" s="7" t="s">
        <v>305</v>
      </c>
      <c r="M59" s="2"/>
      <c r="N59" s="3" t="s">
        <v>302</v>
      </c>
      <c r="O59" s="6" t="str">
        <f aca="false">IF(AND(J59="Amazon.ca",G59&gt;0,ISERROR(SEARCH("ALTERNATIVE",A59))),MAX(O$1:O58)+1,"")</f>
        <v/>
      </c>
    </row>
    <row r="60" customFormat="false" ht="28.35" hidden="false" customHeight="false" outlineLevel="0" collapsed="false">
      <c r="A60" s="2" t="s">
        <v>296</v>
      </c>
      <c r="B60" s="3" t="s">
        <v>306</v>
      </c>
      <c r="C60" s="3" t="s">
        <v>307</v>
      </c>
      <c r="D60" s="3" t="s">
        <v>308</v>
      </c>
      <c r="E60" s="2" t="n">
        <v>1</v>
      </c>
      <c r="F60" s="4" t="b">
        <f aca="false">FALSE()</f>
        <v>0</v>
      </c>
      <c r="G60" s="2" t="n">
        <f aca="false">IF(OR(F60=TRUE(),F60="TRUE"),0,E60)</f>
        <v>1</v>
      </c>
      <c r="H60" s="5" t="n">
        <v>12</v>
      </c>
      <c r="I60" s="5" t="n">
        <f aca="false">IF(H60="","",G60*H60)</f>
        <v>12</v>
      </c>
      <c r="J60" s="2" t="s">
        <v>300</v>
      </c>
      <c r="K60" s="2"/>
      <c r="L60" s="7" t="s">
        <v>309</v>
      </c>
      <c r="M60" s="2"/>
      <c r="N60" s="3" t="s">
        <v>302</v>
      </c>
      <c r="O60" s="6" t="str">
        <f aca="false">IF(AND(J60="Amazon.ca",G60&gt;0,ISERROR(SEARCH("ALTERNATIVE",A60))),MAX(O$1:O59)+1,"")</f>
        <v/>
      </c>
    </row>
    <row r="61" customFormat="false" ht="15" hidden="false" customHeight="false" outlineLevel="0" collapsed="false">
      <c r="A61" s="2" t="s">
        <v>296</v>
      </c>
      <c r="B61" s="3" t="s">
        <v>310</v>
      </c>
      <c r="C61" s="3" t="s">
        <v>311</v>
      </c>
      <c r="D61" s="3" t="s">
        <v>299</v>
      </c>
      <c r="E61" s="2" t="n">
        <v>1</v>
      </c>
      <c r="F61" s="4" t="b">
        <f aca="false">FALSE()</f>
        <v>0</v>
      </c>
      <c r="G61" s="2" t="n">
        <f aca="false">IF(OR(F61=TRUE(),F61="TRUE"),0,E61)</f>
        <v>1</v>
      </c>
      <c r="H61" s="5" t="n">
        <v>15</v>
      </c>
      <c r="I61" s="5" t="n">
        <f aca="false">IF(H61="","",G61*H61)</f>
        <v>15</v>
      </c>
      <c r="J61" s="2" t="s">
        <v>300</v>
      </c>
      <c r="K61" s="2"/>
      <c r="L61" s="7" t="s">
        <v>312</v>
      </c>
      <c r="M61" s="2"/>
      <c r="N61" s="3" t="s">
        <v>302</v>
      </c>
      <c r="O61" s="6" t="str">
        <f aca="false">IF(AND(J61="Amazon.ca",G61&gt;0,ISERROR(SEARCH("ALTERNATIVE",A61))),MAX(O$1:O60)+1,"")</f>
        <v/>
      </c>
    </row>
    <row r="62" customFormat="false" ht="41.75" hidden="false" customHeight="false" outlineLevel="0" collapsed="false">
      <c r="A62" s="2" t="s">
        <v>296</v>
      </c>
      <c r="B62" s="3" t="s">
        <v>313</v>
      </c>
      <c r="C62" s="3" t="s">
        <v>314</v>
      </c>
      <c r="D62" s="3" t="s">
        <v>315</v>
      </c>
      <c r="E62" s="2" t="n">
        <v>1</v>
      </c>
      <c r="F62" s="4" t="b">
        <f aca="false">FALSE()</f>
        <v>0</v>
      </c>
      <c r="G62" s="2" t="n">
        <f aca="false">IF(OR(F62=TRUE(),F62="TRUE"),0,E62)</f>
        <v>1</v>
      </c>
      <c r="H62" s="5" t="n">
        <v>44.38</v>
      </c>
      <c r="I62" s="5" t="n">
        <f aca="false">IF(H62="","",G62*H62)</f>
        <v>44.38</v>
      </c>
      <c r="J62" s="2" t="s">
        <v>39</v>
      </c>
      <c r="K62" s="7" t="s">
        <v>316</v>
      </c>
      <c r="L62" s="7" t="s">
        <v>317</v>
      </c>
      <c r="M62" s="2" t="s">
        <v>42</v>
      </c>
      <c r="N62" s="3" t="s">
        <v>43</v>
      </c>
      <c r="O62" s="6" t="n">
        <f aca="false">IF(AND(J62="Amazon.ca",G62&gt;0,ISERROR(SEARCH("ALTERNATIVE",A62))),MAX(O$1:O61)+1,"")</f>
        <v>46</v>
      </c>
    </row>
    <row r="63" customFormat="false" ht="41.75" hidden="false" customHeight="false" outlineLevel="0" collapsed="false">
      <c r="A63" s="2" t="s">
        <v>296</v>
      </c>
      <c r="B63" s="3" t="s">
        <v>318</v>
      </c>
      <c r="C63" s="3" t="s">
        <v>319</v>
      </c>
      <c r="D63" s="3" t="s">
        <v>320</v>
      </c>
      <c r="E63" s="2" t="n">
        <v>4</v>
      </c>
      <c r="F63" s="4" t="b">
        <f aca="false">FALSE()</f>
        <v>0</v>
      </c>
      <c r="G63" s="2" t="n">
        <f aca="false">IF(OR(F63=TRUE(),F63="TRUE"),0,E63)</f>
        <v>4</v>
      </c>
      <c r="H63" s="5" t="n">
        <v>14.99</v>
      </c>
      <c r="I63" s="5" t="n">
        <f aca="false">IF(H63="","",G63*H63)</f>
        <v>59.96</v>
      </c>
      <c r="J63" s="2" t="s">
        <v>39</v>
      </c>
      <c r="K63" s="7" t="s">
        <v>321</v>
      </c>
      <c r="L63" s="7" t="s">
        <v>322</v>
      </c>
      <c r="M63" s="2" t="s">
        <v>42</v>
      </c>
      <c r="N63" s="3" t="s">
        <v>43</v>
      </c>
      <c r="O63" s="6" t="n">
        <f aca="false">IF(AND(J63="Amazon.ca",G63&gt;0,ISERROR(SEARCH("ALTERNATIVE",A63))),MAX(O$1:O62)+1,"")</f>
        <v>47</v>
      </c>
    </row>
    <row r="64" customFormat="false" ht="28.35" hidden="false" customHeight="false" outlineLevel="0" collapsed="false">
      <c r="A64" s="2" t="s">
        <v>296</v>
      </c>
      <c r="B64" s="3" t="s">
        <v>323</v>
      </c>
      <c r="C64" s="3" t="s">
        <v>324</v>
      </c>
      <c r="D64" s="3" t="s">
        <v>325</v>
      </c>
      <c r="E64" s="2" t="n">
        <v>1</v>
      </c>
      <c r="F64" s="4" t="b">
        <f aca="false">FALSE()</f>
        <v>0</v>
      </c>
      <c r="G64" s="2" t="n">
        <f aca="false">IF(OR(F64=TRUE(),F64="TRUE"),0,E64)</f>
        <v>1</v>
      </c>
      <c r="H64" s="5" t="n">
        <v>9.99</v>
      </c>
      <c r="I64" s="5" t="n">
        <f aca="false">IF(H64="","",G64*H64)</f>
        <v>9.99</v>
      </c>
      <c r="J64" s="2" t="s">
        <v>39</v>
      </c>
      <c r="K64" s="7" t="s">
        <v>326</v>
      </c>
      <c r="L64" s="7" t="s">
        <v>327</v>
      </c>
      <c r="M64" s="2" t="s">
        <v>42</v>
      </c>
      <c r="N64" s="3" t="s">
        <v>43</v>
      </c>
      <c r="O64" s="6" t="n">
        <f aca="false">IF(AND(J64="Amazon.ca",G64&gt;0,ISERROR(SEARCH("ALTERNATIVE",A64))),MAX(O$1:O63)+1,"")</f>
        <v>48</v>
      </c>
    </row>
    <row r="65" customFormat="false" ht="15" hidden="false" customHeight="false" outlineLevel="0" collapsed="false">
      <c r="A65" s="2" t="s">
        <v>296</v>
      </c>
      <c r="B65" s="3" t="s">
        <v>328</v>
      </c>
      <c r="C65" s="3" t="s">
        <v>329</v>
      </c>
      <c r="D65" s="3" t="s">
        <v>330</v>
      </c>
      <c r="E65" s="2" t="n">
        <v>8</v>
      </c>
      <c r="F65" s="4" t="b">
        <f aca="false">FALSE()</f>
        <v>0</v>
      </c>
      <c r="G65" s="2" t="n">
        <f aca="false">IF(OR(F65=TRUE(),F65="TRUE"),0,E65)</f>
        <v>8</v>
      </c>
      <c r="H65" s="5" t="n">
        <v>1.5</v>
      </c>
      <c r="I65" s="5" t="n">
        <f aca="false">IF(H65="","",G65*H65)</f>
        <v>12</v>
      </c>
      <c r="J65" s="2" t="s">
        <v>300</v>
      </c>
      <c r="K65" s="2"/>
      <c r="L65" s="7" t="s">
        <v>331</v>
      </c>
      <c r="M65" s="2"/>
      <c r="N65" s="3" t="s">
        <v>302</v>
      </c>
      <c r="O65" s="6" t="str">
        <f aca="false">IF(AND(J65="Amazon.ca",G65&gt;0,ISERROR(SEARCH("ALTERNATIVE",A65))),MAX(O$1:O64)+1,"")</f>
        <v/>
      </c>
    </row>
    <row r="66" customFormat="false" ht="55.2" hidden="false" customHeight="false" outlineLevel="0" collapsed="false">
      <c r="A66" s="2" t="s">
        <v>296</v>
      </c>
      <c r="B66" s="3" t="s">
        <v>332</v>
      </c>
      <c r="C66" s="3" t="s">
        <v>333</v>
      </c>
      <c r="D66" s="3" t="s">
        <v>334</v>
      </c>
      <c r="E66" s="2" t="n">
        <v>1</v>
      </c>
      <c r="F66" s="4" t="b">
        <f aca="false">FALSE()</f>
        <v>0</v>
      </c>
      <c r="G66" s="2" t="n">
        <f aca="false">IF(OR(F66=TRUE(),F66="TRUE"),0,E66)</f>
        <v>1</v>
      </c>
      <c r="H66" s="5" t="n">
        <v>9.99</v>
      </c>
      <c r="I66" s="5" t="n">
        <f aca="false">IF(H66="","",G66*H66)</f>
        <v>9.99</v>
      </c>
      <c r="J66" s="2" t="s">
        <v>39</v>
      </c>
      <c r="K66" s="7" t="s">
        <v>335</v>
      </c>
      <c r="L66" s="7" t="s">
        <v>336</v>
      </c>
      <c r="M66" s="2" t="s">
        <v>42</v>
      </c>
      <c r="N66" s="3" t="s">
        <v>43</v>
      </c>
      <c r="O66" s="6" t="n">
        <f aca="false">IF(AND(J66="Amazon.ca",G66&gt;0,ISERROR(SEARCH("ALTERNATIVE",A66))),MAX(O$1:O65)+1,"")</f>
        <v>49</v>
      </c>
    </row>
    <row r="67" customFormat="false" ht="15" hidden="false" customHeight="false" outlineLevel="0" collapsed="false">
      <c r="A67" s="2" t="s">
        <v>296</v>
      </c>
      <c r="B67" s="3" t="s">
        <v>337</v>
      </c>
      <c r="C67" s="3" t="s">
        <v>338</v>
      </c>
      <c r="D67" s="3" t="s">
        <v>339</v>
      </c>
      <c r="E67" s="2" t="n">
        <v>1</v>
      </c>
      <c r="F67" s="4" t="b">
        <f aca="false">FALSE()</f>
        <v>0</v>
      </c>
      <c r="G67" s="2" t="n">
        <f aca="false">IF(OR(F67=TRUE(),F67="TRUE"),0,E67)</f>
        <v>1</v>
      </c>
      <c r="H67" s="5" t="n">
        <v>4</v>
      </c>
      <c r="I67" s="5" t="n">
        <f aca="false">IF(H67="","",G67*H67)</f>
        <v>4</v>
      </c>
      <c r="J67" s="2" t="s">
        <v>300</v>
      </c>
      <c r="K67" s="2"/>
      <c r="L67" s="7" t="s">
        <v>340</v>
      </c>
      <c r="M67" s="2"/>
      <c r="N67" s="3" t="s">
        <v>302</v>
      </c>
      <c r="O67" s="6" t="str">
        <f aca="false">IF(AND(J67="Amazon.ca",G67&gt;0,ISERROR(SEARCH("ALTERNATIVE",A67))),MAX(O$1:O66)+1,"")</f>
        <v/>
      </c>
    </row>
    <row r="68" customFormat="false" ht="55.2" hidden="false" customHeight="false" outlineLevel="0" collapsed="false">
      <c r="A68" s="2" t="s">
        <v>341</v>
      </c>
      <c r="B68" s="3" t="s">
        <v>342</v>
      </c>
      <c r="C68" s="3" t="s">
        <v>343</v>
      </c>
      <c r="D68" s="3" t="s">
        <v>344</v>
      </c>
      <c r="E68" s="2" t="n">
        <v>1</v>
      </c>
      <c r="F68" s="4" t="b">
        <f aca="false">FALSE()</f>
        <v>0</v>
      </c>
      <c r="G68" s="2" t="n">
        <f aca="false">IF(OR(F68=TRUE(),F68="TRUE"),0,E68)</f>
        <v>1</v>
      </c>
      <c r="H68" s="5" t="n">
        <v>46.99</v>
      </c>
      <c r="I68" s="5" t="n">
        <f aca="false">IF(H68="","",G68*H68)</f>
        <v>46.99</v>
      </c>
      <c r="J68" s="2" t="s">
        <v>39</v>
      </c>
      <c r="K68" s="7" t="s">
        <v>345</v>
      </c>
      <c r="L68" s="7" t="s">
        <v>346</v>
      </c>
      <c r="M68" s="2" t="s">
        <v>42</v>
      </c>
      <c r="N68" s="3" t="s">
        <v>43</v>
      </c>
      <c r="O68" s="6" t="n">
        <f aca="false">IF(AND(J68="Amazon.ca",G68&gt;0,ISERROR(SEARCH("ALTERNATIVE",A68))),MAX(O$1:O67)+1,"")</f>
        <v>50</v>
      </c>
    </row>
    <row r="69" customFormat="false" ht="15" hidden="false" customHeight="false" outlineLevel="0" collapsed="false">
      <c r="A69" s="2" t="s">
        <v>341</v>
      </c>
      <c r="B69" s="3" t="s">
        <v>347</v>
      </c>
      <c r="C69" s="3" t="s">
        <v>348</v>
      </c>
      <c r="D69" s="3" t="s">
        <v>349</v>
      </c>
      <c r="E69" s="2" t="n">
        <v>1</v>
      </c>
      <c r="F69" s="4" t="b">
        <f aca="false">FALSE()</f>
        <v>0</v>
      </c>
      <c r="G69" s="2" t="n">
        <f aca="false">IF(OR(F69=TRUE(),F69="TRUE"),0,E69)</f>
        <v>1</v>
      </c>
      <c r="H69" s="5" t="n">
        <v>30</v>
      </c>
      <c r="I69" s="5" t="n">
        <f aca="false">IF(H69="","",G69*H69)</f>
        <v>30</v>
      </c>
      <c r="J69" s="2" t="s">
        <v>350</v>
      </c>
      <c r="K69" s="2"/>
      <c r="L69" s="7" t="s">
        <v>351</v>
      </c>
      <c r="M69" s="2"/>
      <c r="N69" s="3" t="s">
        <v>352</v>
      </c>
      <c r="O69" s="6" t="str">
        <f aca="false">IF(AND(J69="Amazon.ca",G69&gt;0,ISERROR(SEARCH("ALTERNATIVE",A69))),MAX(O$1:O68)+1,"")</f>
        <v/>
      </c>
    </row>
    <row r="70" customFormat="false" ht="41.75" hidden="false" customHeight="false" outlineLevel="0" collapsed="false">
      <c r="A70" s="2" t="s">
        <v>341</v>
      </c>
      <c r="B70" s="3" t="s">
        <v>353</v>
      </c>
      <c r="C70" s="3" t="s">
        <v>354</v>
      </c>
      <c r="D70" s="3" t="s">
        <v>355</v>
      </c>
      <c r="E70" s="2" t="n">
        <v>2</v>
      </c>
      <c r="F70" s="4" t="b">
        <f aca="false">FALSE()</f>
        <v>0</v>
      </c>
      <c r="G70" s="2" t="n">
        <f aca="false">IF(OR(F70=TRUE(),F70="TRUE"),0,E70)</f>
        <v>2</v>
      </c>
      <c r="H70" s="5" t="n">
        <v>13.49</v>
      </c>
      <c r="I70" s="5" t="n">
        <f aca="false">IF(H70="","",G70*H70)</f>
        <v>26.98</v>
      </c>
      <c r="J70" s="2" t="s">
        <v>39</v>
      </c>
      <c r="K70" s="7" t="s">
        <v>356</v>
      </c>
      <c r="L70" s="7" t="s">
        <v>357</v>
      </c>
      <c r="M70" s="2" t="s">
        <v>42</v>
      </c>
      <c r="N70" s="3" t="s">
        <v>43</v>
      </c>
      <c r="O70" s="6" t="n">
        <f aca="false">IF(AND(J70="Amazon.ca",G70&gt;0,ISERROR(SEARCH("ALTERNATIVE",A70))),MAX(O$1:O69)+1,"")</f>
        <v>51</v>
      </c>
    </row>
    <row r="71" customFormat="false" ht="28.35" hidden="false" customHeight="false" outlineLevel="0" collapsed="false">
      <c r="A71" s="2" t="s">
        <v>341</v>
      </c>
      <c r="B71" s="3" t="s">
        <v>358</v>
      </c>
      <c r="C71" s="3" t="s">
        <v>359</v>
      </c>
      <c r="D71" s="3" t="s">
        <v>344</v>
      </c>
      <c r="E71" s="2" t="n">
        <v>1</v>
      </c>
      <c r="F71" s="4" t="b">
        <f aca="false">FALSE()</f>
        <v>0</v>
      </c>
      <c r="G71" s="2" t="n">
        <f aca="false">IF(OR(F71=TRUE(),F71="TRUE"),0,E71)</f>
        <v>1</v>
      </c>
      <c r="H71" s="5" t="n">
        <v>37.75</v>
      </c>
      <c r="I71" s="5" t="n">
        <f aca="false">IF(H71="","",G71*H71)</f>
        <v>37.75</v>
      </c>
      <c r="J71" s="2" t="s">
        <v>39</v>
      </c>
      <c r="K71" s="7" t="s">
        <v>360</v>
      </c>
      <c r="L71" s="7" t="s">
        <v>361</v>
      </c>
      <c r="M71" s="2" t="s">
        <v>42</v>
      </c>
      <c r="N71" s="3" t="s">
        <v>43</v>
      </c>
      <c r="O71" s="6" t="n">
        <f aca="false">IF(AND(J71="Amazon.ca",G71&gt;0,ISERROR(SEARCH("ALTERNATIVE",A71))),MAX(O$1:O70)+1,"")</f>
        <v>52</v>
      </c>
    </row>
    <row r="72" customFormat="false" ht="28.35" hidden="false" customHeight="false" outlineLevel="0" collapsed="false">
      <c r="A72" s="2" t="s">
        <v>341</v>
      </c>
      <c r="B72" s="3" t="s">
        <v>362</v>
      </c>
      <c r="C72" s="3" t="s">
        <v>363</v>
      </c>
      <c r="D72" s="3" t="s">
        <v>349</v>
      </c>
      <c r="E72" s="2" t="n">
        <v>2</v>
      </c>
      <c r="F72" s="4" t="b">
        <f aca="false">FALSE()</f>
        <v>0</v>
      </c>
      <c r="G72" s="2" t="n">
        <f aca="false">IF(OR(F72=TRUE(),F72="TRUE"),0,E72)</f>
        <v>2</v>
      </c>
      <c r="H72" s="5" t="n">
        <v>20.79</v>
      </c>
      <c r="I72" s="5" t="n">
        <f aca="false">IF(H72="","",G72*H72)</f>
        <v>41.58</v>
      </c>
      <c r="J72" s="2" t="s">
        <v>39</v>
      </c>
      <c r="K72" s="7" t="s">
        <v>364</v>
      </c>
      <c r="L72" s="7" t="s">
        <v>365</v>
      </c>
      <c r="M72" s="2" t="s">
        <v>42</v>
      </c>
      <c r="N72" s="3" t="s">
        <v>43</v>
      </c>
      <c r="O72" s="6" t="n">
        <f aca="false">IF(AND(J72="Amazon.ca",G72&gt;0,ISERROR(SEARCH("ALTERNATIVE",A72))),MAX(O$1:O71)+1,"")</f>
        <v>53</v>
      </c>
    </row>
    <row r="73" customFormat="false" ht="28.35" hidden="false" customHeight="false" outlineLevel="0" collapsed="false">
      <c r="A73" s="2" t="s">
        <v>341</v>
      </c>
      <c r="B73" s="3" t="s">
        <v>366</v>
      </c>
      <c r="C73" s="3" t="s">
        <v>367</v>
      </c>
      <c r="D73" s="3" t="s">
        <v>368</v>
      </c>
      <c r="E73" s="2" t="n">
        <v>2</v>
      </c>
      <c r="F73" s="4" t="b">
        <f aca="false">FALSE()</f>
        <v>0</v>
      </c>
      <c r="G73" s="2" t="n">
        <f aca="false">IF(OR(F73=TRUE(),F73="TRUE"),0,E73)</f>
        <v>2</v>
      </c>
      <c r="H73" s="5" t="n">
        <v>17.49</v>
      </c>
      <c r="I73" s="5" t="n">
        <f aca="false">IF(H73="","",G73*H73)</f>
        <v>34.98</v>
      </c>
      <c r="J73" s="2" t="s">
        <v>39</v>
      </c>
      <c r="K73" s="7" t="s">
        <v>369</v>
      </c>
      <c r="L73" s="7" t="s">
        <v>370</v>
      </c>
      <c r="M73" s="2" t="s">
        <v>42</v>
      </c>
      <c r="N73" s="3" t="s">
        <v>43</v>
      </c>
      <c r="O73" s="6" t="n">
        <f aca="false">IF(AND(J73="Amazon.ca",G73&gt;0,ISERROR(SEARCH("ALTERNATIVE",A73))),MAX(O$1:O72)+1,"")</f>
        <v>54</v>
      </c>
    </row>
    <row r="74" customFormat="false" ht="28.35" hidden="false" customHeight="false" outlineLevel="0" collapsed="false">
      <c r="A74" s="2" t="s">
        <v>341</v>
      </c>
      <c r="B74" s="3" t="s">
        <v>371</v>
      </c>
      <c r="C74" s="3" t="s">
        <v>372</v>
      </c>
      <c r="D74" s="3" t="s">
        <v>349</v>
      </c>
      <c r="E74" s="2" t="n">
        <v>4</v>
      </c>
      <c r="F74" s="4" t="b">
        <f aca="false">FALSE()</f>
        <v>0</v>
      </c>
      <c r="G74" s="2" t="n">
        <f aca="false">IF(OR(F74=TRUE(),F74="TRUE"),0,E74)</f>
        <v>4</v>
      </c>
      <c r="H74" s="5" t="n">
        <v>10</v>
      </c>
      <c r="I74" s="5" t="n">
        <f aca="false">IF(H74="","",G74*H74)</f>
        <v>40</v>
      </c>
      <c r="J74" s="2" t="s">
        <v>350</v>
      </c>
      <c r="K74" s="2"/>
      <c r="L74" s="7" t="s">
        <v>373</v>
      </c>
      <c r="M74" s="2"/>
      <c r="N74" s="3" t="s">
        <v>352</v>
      </c>
      <c r="O74" s="6" t="str">
        <f aca="false">IF(AND(J74="Amazon.ca",G74&gt;0,ISERROR(SEARCH("ALTERNATIVE",A74))),MAX(O$1:O73)+1,"")</f>
        <v/>
      </c>
    </row>
    <row r="75" customFormat="false" ht="15" hidden="false" customHeight="false" outlineLevel="0" collapsed="false">
      <c r="A75" s="2" t="s">
        <v>341</v>
      </c>
      <c r="B75" s="3" t="s">
        <v>374</v>
      </c>
      <c r="C75" s="3" t="s">
        <v>375</v>
      </c>
      <c r="D75" s="3" t="s">
        <v>376</v>
      </c>
      <c r="E75" s="2" t="n">
        <v>20</v>
      </c>
      <c r="F75" s="4" t="b">
        <f aca="false">FALSE()</f>
        <v>0</v>
      </c>
      <c r="G75" s="2" t="n">
        <f aca="false">IF(OR(F75=TRUE(),F75="TRUE"),0,E75)</f>
        <v>20</v>
      </c>
      <c r="H75" s="5" t="n">
        <v>1.25</v>
      </c>
      <c r="I75" s="5" t="n">
        <f aca="false">IF(H75="","",G75*H75)</f>
        <v>25</v>
      </c>
      <c r="J75" s="2" t="s">
        <v>300</v>
      </c>
      <c r="K75" s="2"/>
      <c r="L75" s="7" t="s">
        <v>377</v>
      </c>
      <c r="M75" s="2"/>
      <c r="N75" s="3" t="s">
        <v>302</v>
      </c>
      <c r="O75" s="6" t="str">
        <f aca="false">IF(AND(J75="Amazon.ca",G75&gt;0,ISERROR(SEARCH("ALTERNATIVE",A75))),MAX(O$1:O74)+1,"")</f>
        <v/>
      </c>
    </row>
    <row r="76" customFormat="false" ht="15" hidden="false" customHeight="false" outlineLevel="0" collapsed="false">
      <c r="A76" s="2" t="s">
        <v>341</v>
      </c>
      <c r="B76" s="3" t="s">
        <v>378</v>
      </c>
      <c r="C76" s="3" t="s">
        <v>379</v>
      </c>
      <c r="D76" s="3" t="s">
        <v>380</v>
      </c>
      <c r="E76" s="2" t="n">
        <v>8</v>
      </c>
      <c r="F76" s="4" t="b">
        <f aca="false">FALSE()</f>
        <v>0</v>
      </c>
      <c r="G76" s="2" t="n">
        <f aca="false">IF(OR(F76=TRUE(),F76="TRUE"),0,E76)</f>
        <v>8</v>
      </c>
      <c r="H76" s="5" t="n">
        <v>1.5</v>
      </c>
      <c r="I76" s="5" t="n">
        <f aca="false">IF(H76="","",G76*H76)</f>
        <v>12</v>
      </c>
      <c r="J76" s="2" t="s">
        <v>300</v>
      </c>
      <c r="K76" s="2"/>
      <c r="L76" s="7" t="s">
        <v>381</v>
      </c>
      <c r="M76" s="2"/>
      <c r="N76" s="3" t="s">
        <v>302</v>
      </c>
      <c r="O76" s="6" t="str">
        <f aca="false">IF(AND(J76="Amazon.ca",G76&gt;0,ISERROR(SEARCH("ALTERNATIVE",A76))),MAX(O$1:O75)+1,"")</f>
        <v/>
      </c>
    </row>
    <row r="77" customFormat="false" ht="82.05" hidden="false" customHeight="false" outlineLevel="0" collapsed="false">
      <c r="A77" s="2" t="s">
        <v>382</v>
      </c>
      <c r="B77" s="3" t="s">
        <v>383</v>
      </c>
      <c r="C77" s="3" t="s">
        <v>384</v>
      </c>
      <c r="D77" s="3" t="s">
        <v>385</v>
      </c>
      <c r="E77" s="2" t="n">
        <v>2</v>
      </c>
      <c r="F77" s="4" t="b">
        <f aca="false">FALSE()</f>
        <v>0</v>
      </c>
      <c r="G77" s="2" t="n">
        <f aca="false">IF(OR(F77=TRUE(),F77="TRUE"),0,E77)</f>
        <v>2</v>
      </c>
      <c r="H77" s="5" t="n">
        <v>62.33</v>
      </c>
      <c r="I77" s="5" t="n">
        <f aca="false">IF(H77="","",G77*H77)</f>
        <v>124.66</v>
      </c>
      <c r="J77" s="2" t="s">
        <v>39</v>
      </c>
      <c r="K77" s="7" t="s">
        <v>386</v>
      </c>
      <c r="L77" s="7" t="s">
        <v>387</v>
      </c>
      <c r="M77" s="2" t="s">
        <v>42</v>
      </c>
      <c r="N77" s="3" t="s">
        <v>43</v>
      </c>
      <c r="O77" s="6" t="n">
        <f aca="false">IF(AND(J77="Amazon.ca",G77&gt;0,ISERROR(SEARCH("ALTERNATIVE",A77))),MAX(O$1:O76)+1,"")</f>
        <v>55</v>
      </c>
    </row>
    <row r="78" customFormat="false" ht="95.5" hidden="false" customHeight="false" outlineLevel="0" collapsed="false">
      <c r="A78" s="2" t="s">
        <v>382</v>
      </c>
      <c r="B78" s="3" t="s">
        <v>388</v>
      </c>
      <c r="C78" s="3" t="s">
        <v>389</v>
      </c>
      <c r="D78" s="3" t="s">
        <v>390</v>
      </c>
      <c r="E78" s="2" t="n">
        <v>1</v>
      </c>
      <c r="F78" s="4" t="b">
        <f aca="false">FALSE()</f>
        <v>0</v>
      </c>
      <c r="G78" s="2" t="n">
        <f aca="false">IF(OR(F78=TRUE(),F78="TRUE"),0,E78)</f>
        <v>1</v>
      </c>
      <c r="H78" s="5" t="n">
        <v>67.82</v>
      </c>
      <c r="I78" s="5" t="n">
        <f aca="false">IF(H78="","",G78*H78)</f>
        <v>67.82</v>
      </c>
      <c r="J78" s="2" t="s">
        <v>39</v>
      </c>
      <c r="K78" s="7" t="s">
        <v>391</v>
      </c>
      <c r="L78" s="7" t="s">
        <v>392</v>
      </c>
      <c r="M78" s="2" t="s">
        <v>42</v>
      </c>
      <c r="N78" s="3" t="s">
        <v>43</v>
      </c>
      <c r="O78" s="6" t="n">
        <f aca="false">IF(AND(J78="Amazon.ca",G78&gt;0,ISERROR(SEARCH("ALTERNATIVE",A78))),MAX(O$1:O77)+1,"")</f>
        <v>56</v>
      </c>
    </row>
    <row r="79" customFormat="false" ht="82.05" hidden="false" customHeight="false" outlineLevel="0" collapsed="false">
      <c r="A79" s="2" t="s">
        <v>382</v>
      </c>
      <c r="B79" s="3" t="s">
        <v>393</v>
      </c>
      <c r="C79" s="3" t="s">
        <v>394</v>
      </c>
      <c r="D79" s="3" t="s">
        <v>395</v>
      </c>
      <c r="E79" s="2" t="n">
        <v>1</v>
      </c>
      <c r="F79" s="4" t="b">
        <f aca="false">FALSE()</f>
        <v>0</v>
      </c>
      <c r="G79" s="2" t="n">
        <f aca="false">IF(OR(F79=TRUE(),F79="TRUE"),0,E79)</f>
        <v>1</v>
      </c>
      <c r="H79" s="5" t="n">
        <v>60</v>
      </c>
      <c r="I79" s="5" t="n">
        <f aca="false">IF(H79="","",G79*H79)</f>
        <v>60</v>
      </c>
      <c r="J79" s="2" t="s">
        <v>39</v>
      </c>
      <c r="K79" s="2"/>
      <c r="L79" s="7" t="s">
        <v>396</v>
      </c>
      <c r="M79" s="2"/>
      <c r="N79" s="3" t="s">
        <v>210</v>
      </c>
      <c r="O79" s="6" t="n">
        <f aca="false">IF(AND(J79="Amazon.ca",G79&gt;0,ISERROR(SEARCH("ALTERNATIVE",A79))),MAX(O$1:O78)+1,"")</f>
        <v>57</v>
      </c>
    </row>
    <row r="80" customFormat="false" ht="15" hidden="false" customHeight="false" outlineLevel="0" collapsed="false">
      <c r="A80" s="2" t="s">
        <v>382</v>
      </c>
      <c r="B80" s="3" t="s">
        <v>397</v>
      </c>
      <c r="C80" s="3" t="s">
        <v>398</v>
      </c>
      <c r="D80" s="3" t="s">
        <v>399</v>
      </c>
      <c r="E80" s="2" t="n">
        <v>3</v>
      </c>
      <c r="F80" s="4" t="b">
        <f aca="false">FALSE()</f>
        <v>0</v>
      </c>
      <c r="G80" s="2" t="n">
        <f aca="false">IF(OR(F80=TRUE(),F80="TRUE"),0,E80)</f>
        <v>3</v>
      </c>
      <c r="H80" s="5" t="n">
        <v>8</v>
      </c>
      <c r="I80" s="5" t="n">
        <f aca="false">IF(H80="","",G80*H80)</f>
        <v>24</v>
      </c>
      <c r="J80" s="2" t="s">
        <v>300</v>
      </c>
      <c r="K80" s="2"/>
      <c r="L80" s="7" t="s">
        <v>400</v>
      </c>
      <c r="M80" s="2"/>
      <c r="N80" s="3" t="s">
        <v>302</v>
      </c>
      <c r="O80" s="6" t="str">
        <f aca="false">IF(AND(J80="Amazon.ca",G80&gt;0,ISERROR(SEARCH("ALTERNATIVE",A80))),MAX(O$1:O79)+1,"")</f>
        <v/>
      </c>
    </row>
    <row r="81" customFormat="false" ht="55.2" hidden="false" customHeight="false" outlineLevel="0" collapsed="false">
      <c r="A81" s="2" t="s">
        <v>382</v>
      </c>
      <c r="B81" s="3" t="s">
        <v>401</v>
      </c>
      <c r="C81" s="3" t="s">
        <v>402</v>
      </c>
      <c r="D81" s="3" t="s">
        <v>403</v>
      </c>
      <c r="E81" s="2" t="n">
        <v>1</v>
      </c>
      <c r="F81" s="4" t="b">
        <f aca="false">FALSE()</f>
        <v>0</v>
      </c>
      <c r="G81" s="2" t="n">
        <f aca="false">IF(OR(F81=TRUE(),F81="TRUE"),0,E81)</f>
        <v>1</v>
      </c>
      <c r="H81" s="5" t="n">
        <v>45</v>
      </c>
      <c r="I81" s="5" t="n">
        <f aca="false">IF(H81="","",G81*H81)</f>
        <v>45</v>
      </c>
      <c r="J81" s="2" t="s">
        <v>350</v>
      </c>
      <c r="K81" s="2"/>
      <c r="L81" s="7" t="s">
        <v>404</v>
      </c>
      <c r="M81" s="2"/>
      <c r="N81" s="3" t="s">
        <v>352</v>
      </c>
      <c r="O81" s="6" t="str">
        <f aca="false">IF(AND(J81="Amazon.ca",G81&gt;0,ISERROR(SEARCH("ALTERNATIVE",A81))),MAX(O$1:O80)+1,"")</f>
        <v/>
      </c>
    </row>
    <row r="82" customFormat="false" ht="28.35" hidden="false" customHeight="false" outlineLevel="0" collapsed="false">
      <c r="A82" s="2" t="s">
        <v>382</v>
      </c>
      <c r="B82" s="3" t="s">
        <v>405</v>
      </c>
      <c r="C82" s="3" t="s">
        <v>406</v>
      </c>
      <c r="D82" s="3" t="s">
        <v>407</v>
      </c>
      <c r="E82" s="2" t="n">
        <v>4</v>
      </c>
      <c r="F82" s="4" t="b">
        <f aca="false">FALSE()</f>
        <v>0</v>
      </c>
      <c r="G82" s="2" t="n">
        <f aca="false">IF(OR(F82=TRUE(),F82="TRUE"),0,E82)</f>
        <v>4</v>
      </c>
      <c r="H82" s="5" t="n">
        <v>10</v>
      </c>
      <c r="I82" s="5" t="n">
        <f aca="false">IF(H82="","",G82*H82)</f>
        <v>40</v>
      </c>
      <c r="J82" s="2" t="s">
        <v>350</v>
      </c>
      <c r="K82" s="2"/>
      <c r="L82" s="7" t="s">
        <v>408</v>
      </c>
      <c r="M82" s="2"/>
      <c r="N82" s="3" t="s">
        <v>352</v>
      </c>
      <c r="O82" s="6" t="str">
        <f aca="false">IF(AND(J82="Amazon.ca",G82&gt;0,ISERROR(SEARCH("ALTERNATIVE",A82))),MAX(O$1:O81)+1,"")</f>
        <v/>
      </c>
    </row>
    <row r="83" customFormat="false" ht="28.35" hidden="false" customHeight="false" outlineLevel="0" collapsed="false">
      <c r="A83" s="2" t="s">
        <v>382</v>
      </c>
      <c r="B83" s="3" t="s">
        <v>409</v>
      </c>
      <c r="C83" s="3" t="s">
        <v>410</v>
      </c>
      <c r="D83" s="3" t="s">
        <v>407</v>
      </c>
      <c r="E83" s="2" t="n">
        <v>8</v>
      </c>
      <c r="F83" s="4" t="b">
        <f aca="false">FALSE()</f>
        <v>0</v>
      </c>
      <c r="G83" s="2" t="n">
        <f aca="false">IF(OR(F83=TRUE(),F83="TRUE"),0,E83)</f>
        <v>8</v>
      </c>
      <c r="H83" s="5" t="n">
        <v>2</v>
      </c>
      <c r="I83" s="5" t="n">
        <f aca="false">IF(H83="","",G83*H83)</f>
        <v>16</v>
      </c>
      <c r="J83" s="2" t="s">
        <v>300</v>
      </c>
      <c r="K83" s="2"/>
      <c r="L83" s="7" t="s">
        <v>411</v>
      </c>
      <c r="M83" s="2"/>
      <c r="N83" s="3" t="s">
        <v>302</v>
      </c>
      <c r="O83" s="6" t="str">
        <f aca="false">IF(AND(J83="Amazon.ca",G83&gt;0,ISERROR(SEARCH("ALTERNATIVE",A83))),MAX(O$1:O82)+1,"")</f>
        <v/>
      </c>
    </row>
    <row r="84" customFormat="false" ht="15" hidden="false" customHeight="false" outlineLevel="0" collapsed="false">
      <c r="A84" s="2" t="s">
        <v>382</v>
      </c>
      <c r="B84" s="3" t="s">
        <v>412</v>
      </c>
      <c r="C84" s="3" t="s">
        <v>413</v>
      </c>
      <c r="D84" s="3" t="s">
        <v>414</v>
      </c>
      <c r="E84" s="2" t="n">
        <v>2</v>
      </c>
      <c r="F84" s="4" t="b">
        <f aca="false">FALSE()</f>
        <v>0</v>
      </c>
      <c r="G84" s="2" t="n">
        <f aca="false">IF(OR(F84=TRUE(),F84="TRUE"),0,E84)</f>
        <v>2</v>
      </c>
      <c r="H84" s="5" t="n">
        <v>25</v>
      </c>
      <c r="I84" s="5" t="n">
        <f aca="false">IF(H84="","",G84*H84)</f>
        <v>50</v>
      </c>
      <c r="J84" s="2" t="s">
        <v>350</v>
      </c>
      <c r="K84" s="2"/>
      <c r="L84" s="7" t="s">
        <v>415</v>
      </c>
      <c r="M84" s="2"/>
      <c r="N84" s="3" t="s">
        <v>352</v>
      </c>
      <c r="O84" s="6" t="str">
        <f aca="false">IF(AND(J84="Amazon.ca",G84&gt;0,ISERROR(SEARCH("ALTERNATIVE",A84))),MAX(O$1:O83)+1,"")</f>
        <v/>
      </c>
    </row>
    <row r="85" customFormat="false" ht="41.75" hidden="false" customHeight="false" outlineLevel="0" collapsed="false">
      <c r="A85" s="2" t="s">
        <v>382</v>
      </c>
      <c r="B85" s="3" t="s">
        <v>416</v>
      </c>
      <c r="C85" s="3" t="s">
        <v>417</v>
      </c>
      <c r="D85" s="3" t="s">
        <v>414</v>
      </c>
      <c r="E85" s="2" t="n">
        <v>2</v>
      </c>
      <c r="F85" s="4" t="b">
        <f aca="false">FALSE()</f>
        <v>0</v>
      </c>
      <c r="G85" s="2" t="n">
        <f aca="false">IF(OR(F85=TRUE(),F85="TRUE"),0,E85)</f>
        <v>2</v>
      </c>
      <c r="H85" s="5" t="n">
        <v>16.99</v>
      </c>
      <c r="I85" s="5" t="n">
        <f aca="false">IF(H85="","",G85*H85)</f>
        <v>33.98</v>
      </c>
      <c r="J85" s="2" t="s">
        <v>39</v>
      </c>
      <c r="K85" s="7" t="s">
        <v>418</v>
      </c>
      <c r="L85" s="7" t="s">
        <v>419</v>
      </c>
      <c r="M85" s="2" t="s">
        <v>42</v>
      </c>
      <c r="N85" s="3" t="s">
        <v>43</v>
      </c>
      <c r="O85" s="6" t="n">
        <f aca="false">IF(AND(J85="Amazon.ca",G85&gt;0,ISERROR(SEARCH("ALTERNATIVE",A85))),MAX(O$1:O84)+1,"")</f>
        <v>58</v>
      </c>
    </row>
    <row r="86" customFormat="false" ht="41.75" hidden="false" customHeight="false" outlineLevel="0" collapsed="false">
      <c r="A86" s="2" t="s">
        <v>382</v>
      </c>
      <c r="B86" s="3" t="s">
        <v>420</v>
      </c>
      <c r="C86" s="3" t="s">
        <v>421</v>
      </c>
      <c r="D86" s="3" t="s">
        <v>422</v>
      </c>
      <c r="E86" s="2" t="n">
        <v>1</v>
      </c>
      <c r="F86" s="4" t="b">
        <f aca="false">FALSE()</f>
        <v>0</v>
      </c>
      <c r="G86" s="2" t="n">
        <f aca="false">IF(OR(F86=TRUE(),F86="TRUE"),0,E86)</f>
        <v>1</v>
      </c>
      <c r="H86" s="5" t="n">
        <v>23.99</v>
      </c>
      <c r="I86" s="5" t="n">
        <f aca="false">IF(H86="","",G86*H86)</f>
        <v>23.99</v>
      </c>
      <c r="J86" s="2" t="s">
        <v>39</v>
      </c>
      <c r="K86" s="7" t="s">
        <v>423</v>
      </c>
      <c r="L86" s="7" t="s">
        <v>424</v>
      </c>
      <c r="M86" s="2" t="s">
        <v>42</v>
      </c>
      <c r="N86" s="3" t="s">
        <v>43</v>
      </c>
      <c r="O86" s="6" t="n">
        <f aca="false">IF(AND(J86="Amazon.ca",G86&gt;0,ISERROR(SEARCH("ALTERNATIVE",A86))),MAX(O$1:O85)+1,"")</f>
        <v>59</v>
      </c>
    </row>
    <row r="87" customFormat="false" ht="15" hidden="false" customHeight="false" outlineLevel="0" collapsed="false">
      <c r="A87" s="2" t="s">
        <v>382</v>
      </c>
      <c r="B87" s="3" t="s">
        <v>425</v>
      </c>
      <c r="C87" s="3" t="s">
        <v>426</v>
      </c>
      <c r="D87" s="3" t="s">
        <v>427</v>
      </c>
      <c r="E87" s="2" t="n">
        <v>4</v>
      </c>
      <c r="F87" s="4" t="b">
        <f aca="false">FALSE()</f>
        <v>0</v>
      </c>
      <c r="G87" s="2" t="n">
        <f aca="false">IF(OR(F87=TRUE(),F87="TRUE"),0,E87)</f>
        <v>4</v>
      </c>
      <c r="H87" s="5" t="n">
        <v>4</v>
      </c>
      <c r="I87" s="5" t="n">
        <f aca="false">IF(H87="","",G87*H87)</f>
        <v>16</v>
      </c>
      <c r="J87" s="2" t="s">
        <v>300</v>
      </c>
      <c r="K87" s="2"/>
      <c r="L87" s="7" t="s">
        <v>428</v>
      </c>
      <c r="M87" s="2"/>
      <c r="N87" s="3" t="s">
        <v>302</v>
      </c>
      <c r="O87" s="6" t="str">
        <f aca="false">IF(AND(J87="Amazon.ca",G87&gt;0,ISERROR(SEARCH("ALTERNATIVE",A87))),MAX(O$1:O86)+1,"")</f>
        <v/>
      </c>
    </row>
    <row r="88" customFormat="false" ht="41.75" hidden="false" customHeight="false" outlineLevel="0" collapsed="false">
      <c r="A88" s="2" t="s">
        <v>382</v>
      </c>
      <c r="B88" s="3" t="s">
        <v>429</v>
      </c>
      <c r="C88" s="3" t="s">
        <v>430</v>
      </c>
      <c r="D88" s="3" t="s">
        <v>431</v>
      </c>
      <c r="E88" s="2" t="n">
        <v>1</v>
      </c>
      <c r="F88" s="4" t="b">
        <f aca="false">FALSE()</f>
        <v>0</v>
      </c>
      <c r="G88" s="2" t="n">
        <f aca="false">IF(OR(F88=TRUE(),F88="TRUE"),0,E88)</f>
        <v>1</v>
      </c>
      <c r="H88" s="5" t="n">
        <v>17.99</v>
      </c>
      <c r="I88" s="5" t="n">
        <f aca="false">IF(H88="","",G88*H88)</f>
        <v>17.99</v>
      </c>
      <c r="J88" s="2" t="s">
        <v>39</v>
      </c>
      <c r="K88" s="7" t="s">
        <v>432</v>
      </c>
      <c r="L88" s="7" t="s">
        <v>433</v>
      </c>
      <c r="M88" s="2" t="s">
        <v>42</v>
      </c>
      <c r="N88" s="3" t="s">
        <v>43</v>
      </c>
      <c r="O88" s="6" t="n">
        <f aca="false">IF(AND(J88="Amazon.ca",G88&gt;0,ISERROR(SEARCH("ALTERNATIVE",A88))),MAX(O$1:O87)+1,"")</f>
        <v>60</v>
      </c>
    </row>
    <row r="89" customFormat="false" ht="41.75" hidden="false" customHeight="false" outlineLevel="0" collapsed="false">
      <c r="A89" s="2" t="s">
        <v>434</v>
      </c>
      <c r="B89" s="3" t="s">
        <v>435</v>
      </c>
      <c r="C89" s="3" t="s">
        <v>436</v>
      </c>
      <c r="D89" s="3" t="s">
        <v>437</v>
      </c>
      <c r="E89" s="2" t="n">
        <v>1</v>
      </c>
      <c r="F89" s="4" t="b">
        <f aca="false">FALSE()</f>
        <v>0</v>
      </c>
      <c r="G89" s="2" t="n">
        <f aca="false">IF(OR(F89=TRUE(),F89="TRUE"),0,E89)</f>
        <v>1</v>
      </c>
      <c r="H89" s="5" t="n">
        <v>33.99</v>
      </c>
      <c r="I89" s="5" t="n">
        <f aca="false">IF(H89="","",G89*H89)</f>
        <v>33.99</v>
      </c>
      <c r="J89" s="2" t="s">
        <v>39</v>
      </c>
      <c r="K89" s="7" t="s">
        <v>438</v>
      </c>
      <c r="L89" s="7" t="s">
        <v>439</v>
      </c>
      <c r="M89" s="2" t="s">
        <v>42</v>
      </c>
      <c r="N89" s="3" t="s">
        <v>43</v>
      </c>
      <c r="O89" s="6" t="n">
        <f aca="false">IF(AND(J89="Amazon.ca",G89&gt;0,ISERROR(SEARCH("ALTERNATIVE",A89))),MAX(O$1:O88)+1,"")</f>
        <v>61</v>
      </c>
    </row>
    <row r="90" customFormat="false" ht="28.35" hidden="false" customHeight="false" outlineLevel="0" collapsed="false">
      <c r="A90" s="2" t="s">
        <v>434</v>
      </c>
      <c r="B90" s="3" t="s">
        <v>440</v>
      </c>
      <c r="C90" s="3" t="s">
        <v>441</v>
      </c>
      <c r="D90" s="3" t="s">
        <v>442</v>
      </c>
      <c r="E90" s="2" t="n">
        <v>1</v>
      </c>
      <c r="F90" s="4" t="b">
        <f aca="false">FALSE()</f>
        <v>0</v>
      </c>
      <c r="G90" s="2" t="n">
        <f aca="false">IF(OR(F90=TRUE(),F90="TRUE"),0,E90)</f>
        <v>1</v>
      </c>
      <c r="H90" s="5" t="n">
        <v>18.99</v>
      </c>
      <c r="I90" s="5" t="n">
        <f aca="false">IF(H90="","",G90*H90)</f>
        <v>18.99</v>
      </c>
      <c r="J90" s="2" t="s">
        <v>39</v>
      </c>
      <c r="K90" s="7" t="s">
        <v>443</v>
      </c>
      <c r="L90" s="7" t="s">
        <v>444</v>
      </c>
      <c r="M90" s="2" t="s">
        <v>42</v>
      </c>
      <c r="N90" s="3" t="s">
        <v>43</v>
      </c>
      <c r="O90" s="6" t="n">
        <f aca="false">IF(AND(J90="Amazon.ca",G90&gt;0,ISERROR(SEARCH("ALTERNATIVE",A90))),MAX(O$1:O89)+1,"")</f>
        <v>62</v>
      </c>
    </row>
    <row r="91" customFormat="false" ht="41.75" hidden="false" customHeight="false" outlineLevel="0" collapsed="false">
      <c r="A91" s="2" t="s">
        <v>434</v>
      </c>
      <c r="B91" s="3" t="s">
        <v>445</v>
      </c>
      <c r="C91" s="3" t="s">
        <v>446</v>
      </c>
      <c r="D91" s="3" t="s">
        <v>447</v>
      </c>
      <c r="E91" s="2" t="n">
        <v>1</v>
      </c>
      <c r="F91" s="4" t="b">
        <f aca="false">FALSE()</f>
        <v>0</v>
      </c>
      <c r="G91" s="2" t="n">
        <f aca="false">IF(OR(F91=TRUE(),F91="TRUE"),0,E91)</f>
        <v>1</v>
      </c>
      <c r="H91" s="5" t="n">
        <v>26.11</v>
      </c>
      <c r="I91" s="5" t="n">
        <f aca="false">IF(H91="","",G91*H91)</f>
        <v>26.11</v>
      </c>
      <c r="J91" s="2" t="s">
        <v>39</v>
      </c>
      <c r="K91" s="7" t="s">
        <v>198</v>
      </c>
      <c r="L91" s="7" t="s">
        <v>199</v>
      </c>
      <c r="M91" s="2" t="s">
        <v>42</v>
      </c>
      <c r="N91" s="3" t="s">
        <v>43</v>
      </c>
      <c r="O91" s="6" t="n">
        <f aca="false">IF(AND(J91="Amazon.ca",G91&gt;0,ISERROR(SEARCH("ALTERNATIVE",A91))),MAX(O$1:O90)+1,"")</f>
        <v>63</v>
      </c>
    </row>
    <row r="92" customFormat="false" ht="28.35" hidden="false" customHeight="false" outlineLevel="0" collapsed="false">
      <c r="A92" s="2" t="s">
        <v>434</v>
      </c>
      <c r="B92" s="3" t="s">
        <v>448</v>
      </c>
      <c r="C92" s="3" t="s">
        <v>449</v>
      </c>
      <c r="D92" s="3" t="s">
        <v>450</v>
      </c>
      <c r="E92" s="2" t="n">
        <v>1</v>
      </c>
      <c r="F92" s="4" t="b">
        <f aca="false">FALSE()</f>
        <v>0</v>
      </c>
      <c r="G92" s="2" t="n">
        <f aca="false">IF(OR(F92=TRUE(),F92="TRUE"),0,E92)</f>
        <v>1</v>
      </c>
      <c r="H92" s="5" t="n">
        <v>16.24</v>
      </c>
      <c r="I92" s="5" t="n">
        <f aca="false">IF(H92="","",G92*H92)</f>
        <v>16.24</v>
      </c>
      <c r="J92" s="2" t="s">
        <v>39</v>
      </c>
      <c r="K92" s="7" t="s">
        <v>451</v>
      </c>
      <c r="L92" s="7" t="s">
        <v>452</v>
      </c>
      <c r="M92" s="2" t="s">
        <v>42</v>
      </c>
      <c r="N92" s="3" t="s">
        <v>43</v>
      </c>
      <c r="O92" s="6" t="n">
        <f aca="false">IF(AND(J92="Amazon.ca",G92&gt;0,ISERROR(SEARCH("ALTERNATIVE",A92))),MAX(O$1:O91)+1,"")</f>
        <v>64</v>
      </c>
    </row>
    <row r="93" customFormat="false" ht="41.75" hidden="false" customHeight="false" outlineLevel="0" collapsed="false">
      <c r="A93" s="2" t="s">
        <v>434</v>
      </c>
      <c r="B93" s="3" t="s">
        <v>453</v>
      </c>
      <c r="C93" s="3" t="s">
        <v>454</v>
      </c>
      <c r="D93" s="3" t="s">
        <v>455</v>
      </c>
      <c r="E93" s="2" t="n">
        <v>1</v>
      </c>
      <c r="F93" s="4" t="b">
        <f aca="false">FALSE()</f>
        <v>0</v>
      </c>
      <c r="G93" s="2" t="n">
        <f aca="false">IF(OR(F93=TRUE(),F93="TRUE"),0,E93)</f>
        <v>1</v>
      </c>
      <c r="H93" s="5" t="n">
        <v>13.98</v>
      </c>
      <c r="I93" s="5" t="n">
        <f aca="false">IF(H93="","",G93*H93)</f>
        <v>13.98</v>
      </c>
      <c r="J93" s="2" t="s">
        <v>39</v>
      </c>
      <c r="K93" s="7" t="s">
        <v>456</v>
      </c>
      <c r="L93" s="7" t="s">
        <v>457</v>
      </c>
      <c r="M93" s="2" t="s">
        <v>42</v>
      </c>
      <c r="N93" s="3" t="s">
        <v>43</v>
      </c>
      <c r="O93" s="6" t="n">
        <f aca="false">IF(AND(J93="Amazon.ca",G93&gt;0,ISERROR(SEARCH("ALTERNATIVE",A93))),MAX(O$1:O92)+1,"")</f>
        <v>65</v>
      </c>
    </row>
    <row r="94" customFormat="false" ht="55.2" hidden="false" customHeight="false" outlineLevel="0" collapsed="false">
      <c r="A94" s="2" t="s">
        <v>434</v>
      </c>
      <c r="B94" s="3" t="s">
        <v>458</v>
      </c>
      <c r="C94" s="3" t="s">
        <v>459</v>
      </c>
      <c r="D94" s="3" t="s">
        <v>460</v>
      </c>
      <c r="E94" s="2" t="n">
        <v>1</v>
      </c>
      <c r="F94" s="4" t="b">
        <f aca="false">FALSE()</f>
        <v>0</v>
      </c>
      <c r="G94" s="2" t="n">
        <f aca="false">IF(OR(F94=TRUE(),F94="TRUE"),0,E94)</f>
        <v>1</v>
      </c>
      <c r="H94" s="5" t="n">
        <v>22.99</v>
      </c>
      <c r="I94" s="5" t="n">
        <f aca="false">IF(H94="","",G94*H94)</f>
        <v>22.99</v>
      </c>
      <c r="J94" s="2" t="s">
        <v>39</v>
      </c>
      <c r="K94" s="7" t="s">
        <v>461</v>
      </c>
      <c r="L94" s="7" t="s">
        <v>462</v>
      </c>
      <c r="M94" s="2" t="s">
        <v>42</v>
      </c>
      <c r="N94" s="3" t="s">
        <v>43</v>
      </c>
      <c r="O94" s="6" t="n">
        <f aca="false">IF(AND(J94="Amazon.ca",G94&gt;0,ISERROR(SEARCH("ALTERNATIVE",A94))),MAX(O$1:O93)+1,"")</f>
        <v>66</v>
      </c>
    </row>
    <row r="95" customFormat="false" ht="68.65" hidden="false" customHeight="false" outlineLevel="0" collapsed="false">
      <c r="A95" s="2" t="s">
        <v>434</v>
      </c>
      <c r="B95" s="3" t="s">
        <v>463</v>
      </c>
      <c r="C95" s="3" t="s">
        <v>464</v>
      </c>
      <c r="D95" s="3" t="s">
        <v>465</v>
      </c>
      <c r="E95" s="2" t="n">
        <v>2</v>
      </c>
      <c r="F95" s="4" t="b">
        <f aca="false">FALSE()</f>
        <v>0</v>
      </c>
      <c r="G95" s="2" t="n">
        <f aca="false">IF(OR(F95=TRUE(),F95="TRUE"),0,E95)</f>
        <v>2</v>
      </c>
      <c r="H95" s="5" t="n">
        <v>16.69</v>
      </c>
      <c r="I95" s="5" t="n">
        <f aca="false">IF(H95="","",G95*H95)</f>
        <v>33.38</v>
      </c>
      <c r="J95" s="2" t="s">
        <v>39</v>
      </c>
      <c r="K95" s="7" t="s">
        <v>466</v>
      </c>
      <c r="L95" s="7" t="s">
        <v>467</v>
      </c>
      <c r="M95" s="2" t="s">
        <v>42</v>
      </c>
      <c r="N95" s="3" t="s">
        <v>43</v>
      </c>
      <c r="O95" s="6" t="n">
        <f aca="false">IF(AND(J95="Amazon.ca",G95&gt;0,ISERROR(SEARCH("ALTERNATIVE",A95))),MAX(O$1:O94)+1,"")</f>
        <v>67</v>
      </c>
    </row>
    <row r="96" customFormat="false" ht="55.2" hidden="false" customHeight="false" outlineLevel="0" collapsed="false">
      <c r="A96" s="2" t="s">
        <v>434</v>
      </c>
      <c r="B96" s="3" t="s">
        <v>468</v>
      </c>
      <c r="C96" s="3" t="s">
        <v>469</v>
      </c>
      <c r="D96" s="3" t="s">
        <v>470</v>
      </c>
      <c r="E96" s="2" t="n">
        <v>1</v>
      </c>
      <c r="F96" s="4" t="b">
        <f aca="false">FALSE()</f>
        <v>0</v>
      </c>
      <c r="G96" s="2" t="n">
        <f aca="false">IF(OR(F96=TRUE(),F96="TRUE"),0,E96)</f>
        <v>1</v>
      </c>
      <c r="H96" s="5" t="n">
        <v>8.99</v>
      </c>
      <c r="I96" s="5" t="n">
        <f aca="false">IF(H96="","",G96*H96)</f>
        <v>8.99</v>
      </c>
      <c r="J96" s="2" t="s">
        <v>39</v>
      </c>
      <c r="K96" s="7" t="s">
        <v>471</v>
      </c>
      <c r="L96" s="7" t="s">
        <v>472</v>
      </c>
      <c r="M96" s="2" t="s">
        <v>42</v>
      </c>
      <c r="N96" s="3" t="s">
        <v>43</v>
      </c>
      <c r="O96" s="6" t="n">
        <f aca="false">IF(AND(J96="Amazon.ca",G96&gt;0,ISERROR(SEARCH("ALTERNATIVE",A96))),MAX(O$1:O95)+1,"")</f>
        <v>68</v>
      </c>
    </row>
    <row r="97" customFormat="false" ht="28.35" hidden="false" customHeight="false" outlineLevel="0" collapsed="false">
      <c r="A97" s="2" t="s">
        <v>434</v>
      </c>
      <c r="B97" s="3" t="s">
        <v>473</v>
      </c>
      <c r="C97" s="3" t="s">
        <v>474</v>
      </c>
      <c r="D97" s="3" t="s">
        <v>475</v>
      </c>
      <c r="E97" s="2" t="n">
        <v>1</v>
      </c>
      <c r="F97" s="4" t="b">
        <f aca="false">FALSE()</f>
        <v>0</v>
      </c>
      <c r="G97" s="2" t="n">
        <f aca="false">IF(OR(F97=TRUE(),F97="TRUE"),0,E97)</f>
        <v>1</v>
      </c>
      <c r="H97" s="5" t="n">
        <v>150</v>
      </c>
      <c r="I97" s="5" t="n">
        <f aca="false">IF(H97="","",G97*H97)</f>
        <v>150</v>
      </c>
      <c r="J97" s="2" t="s">
        <v>476</v>
      </c>
      <c r="K97" s="2"/>
      <c r="L97" s="7" t="s">
        <v>477</v>
      </c>
      <c r="M97" s="2"/>
      <c r="N97" s="3" t="s">
        <v>352</v>
      </c>
      <c r="O97" s="6" t="str">
        <f aca="false">IF(AND(J97="Amazon.ca",G97&gt;0,ISERROR(SEARCH("ALTERNATIVE",A97))),MAX(O$1:O96)+1,"")</f>
        <v/>
      </c>
    </row>
    <row r="98" customFormat="false" ht="28.35" hidden="false" customHeight="false" outlineLevel="0" collapsed="false">
      <c r="A98" s="2" t="s">
        <v>434</v>
      </c>
      <c r="B98" s="3" t="s">
        <v>478</v>
      </c>
      <c r="C98" s="3" t="s">
        <v>479</v>
      </c>
      <c r="D98" s="3" t="s">
        <v>480</v>
      </c>
      <c r="E98" s="2" t="n">
        <v>2</v>
      </c>
      <c r="F98" s="4" t="b">
        <f aca="false">FALSE()</f>
        <v>0</v>
      </c>
      <c r="G98" s="2" t="n">
        <f aca="false">IF(OR(F98=TRUE(),F98="TRUE"),0,E98)</f>
        <v>2</v>
      </c>
      <c r="H98" s="5" t="n">
        <v>17.09</v>
      </c>
      <c r="I98" s="5" t="n">
        <f aca="false">IF(H98="","",G98*H98)</f>
        <v>34.18</v>
      </c>
      <c r="J98" s="2" t="s">
        <v>39</v>
      </c>
      <c r="K98" s="7" t="s">
        <v>481</v>
      </c>
      <c r="L98" s="7" t="s">
        <v>482</v>
      </c>
      <c r="M98" s="2" t="s">
        <v>42</v>
      </c>
      <c r="N98" s="3" t="s">
        <v>43</v>
      </c>
      <c r="O98" s="6" t="n">
        <f aca="false">IF(AND(J98="Amazon.ca",G98&gt;0,ISERROR(SEARCH("ALTERNATIVE",A98))),MAX(O$1:O97)+1,"")</f>
        <v>69</v>
      </c>
    </row>
    <row r="99" customFormat="false" ht="28.35" hidden="false" customHeight="false" outlineLevel="0" collapsed="false">
      <c r="A99" s="2" t="s">
        <v>434</v>
      </c>
      <c r="B99" s="3" t="s">
        <v>483</v>
      </c>
      <c r="C99" s="3" t="s">
        <v>484</v>
      </c>
      <c r="D99" s="3" t="s">
        <v>485</v>
      </c>
      <c r="E99" s="2" t="n">
        <v>1</v>
      </c>
      <c r="F99" s="4" t="b">
        <f aca="false">FALSE()</f>
        <v>0</v>
      </c>
      <c r="G99" s="2" t="n">
        <f aca="false">IF(OR(F99=TRUE(),F99="TRUE"),0,E99)</f>
        <v>1</v>
      </c>
      <c r="H99" s="5" t="n">
        <v>29.99</v>
      </c>
      <c r="I99" s="5" t="n">
        <f aca="false">IF(H99="","",G99*H99)</f>
        <v>29.99</v>
      </c>
      <c r="J99" s="2" t="s">
        <v>39</v>
      </c>
      <c r="K99" s="7" t="s">
        <v>486</v>
      </c>
      <c r="L99" s="7" t="s">
        <v>487</v>
      </c>
      <c r="M99" s="2" t="s">
        <v>42</v>
      </c>
      <c r="N99" s="3" t="s">
        <v>43</v>
      </c>
      <c r="O99" s="6" t="n">
        <f aca="false">IF(AND(J99="Amazon.ca",G99&gt;0,ISERROR(SEARCH("ALTERNATIVE",A99))),MAX(O$1:O98)+1,"")</f>
        <v>70</v>
      </c>
    </row>
    <row r="100" customFormat="false" ht="28.35" hidden="false" customHeight="false" outlineLevel="0" collapsed="false">
      <c r="A100" s="2" t="s">
        <v>488</v>
      </c>
      <c r="B100" s="3" t="s">
        <v>489</v>
      </c>
      <c r="C100" s="3" t="s">
        <v>490</v>
      </c>
      <c r="D100" s="3" t="s">
        <v>491</v>
      </c>
      <c r="E100" s="2" t="n">
        <v>1</v>
      </c>
      <c r="F100" s="4" t="b">
        <f aca="false">FALSE()</f>
        <v>0</v>
      </c>
      <c r="G100" s="2" t="n">
        <f aca="false">IF(OR(F100=TRUE(),F100="TRUE"),0,E100)</f>
        <v>1</v>
      </c>
      <c r="H100" s="5" t="n">
        <v>60</v>
      </c>
      <c r="I100" s="5" t="n">
        <f aca="false">IF(H100="","",G100*H100)</f>
        <v>60</v>
      </c>
      <c r="J100" s="2" t="s">
        <v>39</v>
      </c>
      <c r="K100" s="2"/>
      <c r="L100" s="7" t="s">
        <v>492</v>
      </c>
      <c r="M100" s="2"/>
      <c r="N100" s="3" t="s">
        <v>210</v>
      </c>
      <c r="O100" s="6" t="n">
        <f aca="false">IF(AND(J100="Amazon.ca",G100&gt;0,ISERROR(SEARCH("ALTERNATIVE",A100))),MAX(O$1:O99)+1,"")</f>
        <v>71</v>
      </c>
    </row>
    <row r="101" customFormat="false" ht="41.75" hidden="false" customHeight="false" outlineLevel="0" collapsed="false">
      <c r="A101" s="2" t="s">
        <v>488</v>
      </c>
      <c r="B101" s="3" t="s">
        <v>493</v>
      </c>
      <c r="C101" s="3" t="s">
        <v>494</v>
      </c>
      <c r="D101" s="3" t="s">
        <v>495</v>
      </c>
      <c r="E101" s="2" t="n">
        <v>1</v>
      </c>
      <c r="F101" s="4" t="b">
        <f aca="false">FALSE()</f>
        <v>0</v>
      </c>
      <c r="G101" s="2" t="n">
        <f aca="false">IF(OR(F101=TRUE(),F101="TRUE"),0,E101)</f>
        <v>1</v>
      </c>
      <c r="H101" s="5" t="n">
        <v>32.15</v>
      </c>
      <c r="I101" s="5" t="n">
        <f aca="false">IF(H101="","",G101*H101)</f>
        <v>32.15</v>
      </c>
      <c r="J101" s="2" t="s">
        <v>39</v>
      </c>
      <c r="K101" s="7" t="s">
        <v>496</v>
      </c>
      <c r="L101" s="7" t="s">
        <v>497</v>
      </c>
      <c r="M101" s="2" t="s">
        <v>42</v>
      </c>
      <c r="N101" s="3" t="s">
        <v>43</v>
      </c>
      <c r="O101" s="6" t="n">
        <f aca="false">IF(AND(J101="Amazon.ca",G101&gt;0,ISERROR(SEARCH("ALTERNATIVE",A101))),MAX(O$1:O100)+1,"")</f>
        <v>72</v>
      </c>
    </row>
    <row r="102" customFormat="false" ht="82.05" hidden="false" customHeight="false" outlineLevel="0" collapsed="false">
      <c r="A102" s="2" t="s">
        <v>498</v>
      </c>
      <c r="B102" s="3" t="s">
        <v>499</v>
      </c>
      <c r="C102" s="3" t="s">
        <v>500</v>
      </c>
      <c r="D102" s="3" t="s">
        <v>501</v>
      </c>
      <c r="E102" s="2" t="n">
        <v>1</v>
      </c>
      <c r="F102" s="4" t="b">
        <f aca="false">FALSE()</f>
        <v>0</v>
      </c>
      <c r="G102" s="2" t="n">
        <f aca="false">IF(OR(F102=TRUE(),F102="TRUE"),0,E102)</f>
        <v>1</v>
      </c>
      <c r="H102" s="5" t="n">
        <v>13</v>
      </c>
      <c r="I102" s="5" t="n">
        <f aca="false">IF(H102="","",G102*H102)</f>
        <v>13</v>
      </c>
      <c r="J102" s="2" t="s">
        <v>39</v>
      </c>
      <c r="K102" s="7" t="s">
        <v>502</v>
      </c>
      <c r="L102" s="7" t="s">
        <v>503</v>
      </c>
      <c r="M102" s="2" t="s">
        <v>42</v>
      </c>
      <c r="N102" s="3" t="s">
        <v>504</v>
      </c>
      <c r="O102" s="6" t="n">
        <f aca="false">IF(AND(J102="Amazon.ca",G102&gt;0,ISERROR(SEARCH("ALTERNATIVE",A102))),MAX(O$1:O101)+1,"")</f>
        <v>73</v>
      </c>
    </row>
    <row r="103" customFormat="false" ht="55.2" hidden="false" customHeight="false" outlineLevel="0" collapsed="false">
      <c r="A103" s="2" t="s">
        <v>498</v>
      </c>
      <c r="B103" s="3" t="s">
        <v>505</v>
      </c>
      <c r="C103" s="3" t="s">
        <v>506</v>
      </c>
      <c r="D103" s="3" t="s">
        <v>507</v>
      </c>
      <c r="E103" s="2" t="n">
        <v>1</v>
      </c>
      <c r="F103" s="4" t="b">
        <f aca="false">FALSE()</f>
        <v>0</v>
      </c>
      <c r="G103" s="2" t="n">
        <f aca="false">IF(OR(F103=TRUE(),F103="TRUE"),0,E103)</f>
        <v>1</v>
      </c>
      <c r="H103" s="5" t="n">
        <v>19.99</v>
      </c>
      <c r="I103" s="5" t="n">
        <f aca="false">IF(H103="","",G103*H103)</f>
        <v>19.99</v>
      </c>
      <c r="J103" s="2" t="s">
        <v>39</v>
      </c>
      <c r="K103" s="7" t="s">
        <v>508</v>
      </c>
      <c r="L103" s="7" t="s">
        <v>509</v>
      </c>
      <c r="M103" s="2" t="s">
        <v>42</v>
      </c>
      <c r="N103" s="3" t="s">
        <v>43</v>
      </c>
      <c r="O103" s="6" t="n">
        <f aca="false">IF(AND(J103="Amazon.ca",G103&gt;0,ISERROR(SEARCH("ALTERNATIVE",A103))),MAX(O$1:O102)+1,"")</f>
        <v>74</v>
      </c>
    </row>
    <row r="104" customFormat="false" ht="55.2" hidden="false" customHeight="false" outlineLevel="0" collapsed="false">
      <c r="A104" s="2" t="s">
        <v>498</v>
      </c>
      <c r="B104" s="3" t="s">
        <v>510</v>
      </c>
      <c r="C104" s="3" t="s">
        <v>511</v>
      </c>
      <c r="D104" s="3" t="s">
        <v>512</v>
      </c>
      <c r="E104" s="2" t="n">
        <v>1</v>
      </c>
      <c r="F104" s="4" t="b">
        <f aca="false">FALSE()</f>
        <v>0</v>
      </c>
      <c r="G104" s="2" t="n">
        <f aca="false">IF(OR(F104=TRUE(),F104="TRUE"),0,E104)</f>
        <v>1</v>
      </c>
      <c r="H104" s="5" t="n">
        <v>15.99</v>
      </c>
      <c r="I104" s="5" t="n">
        <f aca="false">IF(H104="","",G104*H104)</f>
        <v>15.99</v>
      </c>
      <c r="J104" s="2" t="s">
        <v>39</v>
      </c>
      <c r="K104" s="7" t="s">
        <v>513</v>
      </c>
      <c r="L104" s="7" t="s">
        <v>514</v>
      </c>
      <c r="M104" s="2" t="s">
        <v>42</v>
      </c>
      <c r="N104" s="3" t="s">
        <v>43</v>
      </c>
      <c r="O104" s="6" t="n">
        <f aca="false">IF(AND(J104="Amazon.ca",G104&gt;0,ISERROR(SEARCH("ALTERNATIVE",A104))),MAX(O$1:O103)+1,"")</f>
        <v>75</v>
      </c>
    </row>
    <row r="105" customFormat="false" ht="41.75" hidden="false" customHeight="false" outlineLevel="0" collapsed="false">
      <c r="A105" s="2" t="s">
        <v>498</v>
      </c>
      <c r="B105" s="3" t="s">
        <v>515</v>
      </c>
      <c r="C105" s="3" t="s">
        <v>516</v>
      </c>
      <c r="D105" s="3" t="s">
        <v>517</v>
      </c>
      <c r="E105" s="2" t="n">
        <v>1</v>
      </c>
      <c r="F105" s="4" t="b">
        <f aca="false">FALSE()</f>
        <v>0</v>
      </c>
      <c r="G105" s="2" t="n">
        <f aca="false">IF(OR(F105=TRUE(),F105="TRUE"),0,E105)</f>
        <v>1</v>
      </c>
      <c r="H105" s="5" t="n">
        <v>15.97</v>
      </c>
      <c r="I105" s="5" t="n">
        <f aca="false">IF(H105="","",G105*H105)</f>
        <v>15.97</v>
      </c>
      <c r="J105" s="2" t="s">
        <v>39</v>
      </c>
      <c r="K105" s="7" t="s">
        <v>518</v>
      </c>
      <c r="L105" s="7" t="s">
        <v>519</v>
      </c>
      <c r="M105" s="2" t="s">
        <v>42</v>
      </c>
      <c r="N105" s="3" t="s">
        <v>43</v>
      </c>
      <c r="O105" s="6" t="n">
        <f aca="false">IF(AND(J105="Amazon.ca",G105&gt;0,ISERROR(SEARCH("ALTERNATIVE",A105))),MAX(O$1:O104)+1,"")</f>
        <v>76</v>
      </c>
    </row>
    <row r="106" customFormat="false" ht="28.35" hidden="false" customHeight="false" outlineLevel="0" collapsed="false">
      <c r="A106" s="2" t="s">
        <v>498</v>
      </c>
      <c r="B106" s="3" t="s">
        <v>520</v>
      </c>
      <c r="C106" s="3" t="s">
        <v>521</v>
      </c>
      <c r="D106" s="3" t="s">
        <v>522</v>
      </c>
      <c r="E106" s="2" t="n">
        <v>10</v>
      </c>
      <c r="F106" s="4" t="b">
        <f aca="false">FALSE()</f>
        <v>0</v>
      </c>
      <c r="G106" s="2" t="n">
        <f aca="false">IF(OR(F106=TRUE(),F106="TRUE"),0,E106)</f>
        <v>10</v>
      </c>
      <c r="H106" s="5" t="n">
        <v>6</v>
      </c>
      <c r="I106" s="5" t="n">
        <f aca="false">IF(H106="","",G106*H106)</f>
        <v>60</v>
      </c>
      <c r="J106" s="2" t="s">
        <v>300</v>
      </c>
      <c r="K106" s="2"/>
      <c r="L106" s="7" t="s">
        <v>523</v>
      </c>
      <c r="M106" s="2"/>
      <c r="N106" s="3" t="s">
        <v>302</v>
      </c>
      <c r="O106" s="6" t="str">
        <f aca="false">IF(AND(J106="Amazon.ca",G106&gt;0,ISERROR(SEARCH("ALTERNATIVE",A106))),MAX(O$1:O105)+1,"")</f>
        <v/>
      </c>
    </row>
    <row r="107" customFormat="false" ht="28.35" hidden="false" customHeight="false" outlineLevel="0" collapsed="false">
      <c r="A107" s="2" t="s">
        <v>498</v>
      </c>
      <c r="B107" s="3" t="s">
        <v>524</v>
      </c>
      <c r="C107" s="3" t="s">
        <v>525</v>
      </c>
      <c r="D107" s="3" t="s">
        <v>526</v>
      </c>
      <c r="E107" s="2" t="n">
        <v>1</v>
      </c>
      <c r="F107" s="4" t="b">
        <f aca="false">FALSE()</f>
        <v>0</v>
      </c>
      <c r="G107" s="2" t="n">
        <f aca="false">IF(OR(F107=TRUE(),F107="TRUE"),0,E107)</f>
        <v>1</v>
      </c>
      <c r="H107" s="5" t="n">
        <v>24.99</v>
      </c>
      <c r="I107" s="5" t="n">
        <f aca="false">IF(H107="","",G107*H107)</f>
        <v>24.99</v>
      </c>
      <c r="J107" s="2" t="s">
        <v>39</v>
      </c>
      <c r="K107" s="7" t="s">
        <v>527</v>
      </c>
      <c r="L107" s="7" t="s">
        <v>528</v>
      </c>
      <c r="M107" s="2" t="s">
        <v>42</v>
      </c>
      <c r="N107" s="3" t="s">
        <v>43</v>
      </c>
      <c r="O107" s="6" t="n">
        <f aca="false">IF(AND(J107="Amazon.ca",G107&gt;0,ISERROR(SEARCH("ALTERNATIVE",A107))),MAX(O$1:O106)+1,"")</f>
        <v>77</v>
      </c>
    </row>
    <row r="108" customFormat="false" ht="41.75" hidden="false" customHeight="false" outlineLevel="0" collapsed="false">
      <c r="A108" s="2" t="s">
        <v>498</v>
      </c>
      <c r="B108" s="3" t="s">
        <v>529</v>
      </c>
      <c r="C108" s="3" t="s">
        <v>530</v>
      </c>
      <c r="D108" s="3" t="s">
        <v>531</v>
      </c>
      <c r="E108" s="2" t="n">
        <v>1</v>
      </c>
      <c r="F108" s="4" t="b">
        <f aca="false">FALSE()</f>
        <v>0</v>
      </c>
      <c r="G108" s="2" t="n">
        <f aca="false">IF(OR(F108=TRUE(),F108="TRUE"),0,E108)</f>
        <v>1</v>
      </c>
      <c r="H108" s="5" t="n">
        <v>54.54</v>
      </c>
      <c r="I108" s="5" t="n">
        <f aca="false">IF(H108="","",G108*H108)</f>
        <v>54.54</v>
      </c>
      <c r="J108" s="2" t="s">
        <v>39</v>
      </c>
      <c r="K108" s="7" t="s">
        <v>532</v>
      </c>
      <c r="L108" s="7" t="s">
        <v>533</v>
      </c>
      <c r="M108" s="2" t="s">
        <v>42</v>
      </c>
      <c r="N108" s="3" t="s">
        <v>43</v>
      </c>
      <c r="O108" s="6" t="n">
        <f aca="false">IF(AND(J108="Amazon.ca",G108&gt;0,ISERROR(SEARCH("ALTERNATIVE",A108))),MAX(O$1:O107)+1,"")</f>
        <v>78</v>
      </c>
    </row>
    <row r="109" customFormat="false" ht="28.35" hidden="false" customHeight="false" outlineLevel="0" collapsed="false">
      <c r="A109" s="2" t="s">
        <v>498</v>
      </c>
      <c r="B109" s="3" t="s">
        <v>534</v>
      </c>
      <c r="C109" s="3" t="s">
        <v>535</v>
      </c>
      <c r="D109" s="3" t="s">
        <v>536</v>
      </c>
      <c r="E109" s="2" t="n">
        <v>1</v>
      </c>
      <c r="F109" s="4" t="b">
        <f aca="false">FALSE()</f>
        <v>0</v>
      </c>
      <c r="G109" s="2" t="n">
        <f aca="false">IF(OR(F109=TRUE(),F109="TRUE"),0,E109)</f>
        <v>1</v>
      </c>
      <c r="H109" s="5" t="n">
        <v>43.69</v>
      </c>
      <c r="I109" s="5" t="n">
        <f aca="false">IF(H109="","",G109*H109)</f>
        <v>43.69</v>
      </c>
      <c r="J109" s="2" t="s">
        <v>39</v>
      </c>
      <c r="K109" s="7" t="s">
        <v>537</v>
      </c>
      <c r="L109" s="7" t="s">
        <v>538</v>
      </c>
      <c r="M109" s="2" t="s">
        <v>42</v>
      </c>
      <c r="N109" s="3" t="s">
        <v>43</v>
      </c>
      <c r="O109" s="6" t="n">
        <f aca="false">IF(AND(J109="Amazon.ca",G109&gt;0,ISERROR(SEARCH("ALTERNATIVE",A109))),MAX(O$1:O108)+1,"")</f>
        <v>79</v>
      </c>
    </row>
    <row r="110" customFormat="false" ht="55.2" hidden="false" customHeight="false" outlineLevel="0" collapsed="false">
      <c r="A110" s="2" t="s">
        <v>539</v>
      </c>
      <c r="B110" s="3" t="s">
        <v>540</v>
      </c>
      <c r="C110" s="3" t="s">
        <v>541</v>
      </c>
      <c r="D110" s="3" t="s">
        <v>542</v>
      </c>
      <c r="E110" s="2" t="n">
        <v>2</v>
      </c>
      <c r="F110" s="4" t="b">
        <f aca="false">FALSE()</f>
        <v>0</v>
      </c>
      <c r="G110" s="2" t="n">
        <f aca="false">IF(OR(F110=TRUE(),F110="TRUE"),0,E110)</f>
        <v>2</v>
      </c>
      <c r="H110" s="5" t="n">
        <v>55.99</v>
      </c>
      <c r="I110" s="5" t="n">
        <f aca="false">IF(H110="","",G110*H110)</f>
        <v>111.98</v>
      </c>
      <c r="J110" s="2" t="s">
        <v>39</v>
      </c>
      <c r="K110" s="7" t="s">
        <v>543</v>
      </c>
      <c r="L110" s="7" t="s">
        <v>544</v>
      </c>
      <c r="M110" s="2" t="s">
        <v>42</v>
      </c>
      <c r="N110" s="3" t="s">
        <v>43</v>
      </c>
      <c r="O110" s="6" t="str">
        <f aca="false">IF(AND(J110="Amazon.ca",G110&gt;0,ISERROR(SEARCH("ALTERNATIVE",A110))),MAX(O$1:O109)+1,"")</f>
        <v/>
      </c>
    </row>
  </sheetData>
  <autoFilter ref="A1:O110"/>
  <conditionalFormatting sqref="A2:N110">
    <cfRule type="expression" priority="2" aboveAverage="0" equalAverage="0" bottom="0" percent="0" rank="0" text="" dxfId="7">
      <formula>OR($F2=TRUE(),$F2="TRUE")</formula>
    </cfRule>
    <cfRule type="expression" priority="3" aboveAverage="0" equalAverage="0" bottom="0" percent="0" rank="0" text="" dxfId="8">
      <formula>ISNUMBER(SEARCH("ALTERNATIVE",$A2))</formula>
    </cfRule>
  </conditionalFormatting>
  <dataValidations count="1">
    <dataValidation allowBlank="false" error="Choose TRUE or FALSE" errorStyle="stop" operator="between" prompt="TRUE = you already have it" showDropDown="false" showErrorMessage="false" showInputMessage="false" sqref="F2:F110" type="list">
      <formula1>"TRUE,FALSE"</formula1>
      <formula2>0</formula2>
    </dataValidation>
  </dataValidations>
  <hyperlinks>
    <hyperlink ref="K8" r:id="rId1" display="https://www.amazon.ca/dp/B0BRPZHK36"/>
    <hyperlink ref="L8" r:id="rId2" display="https://www.amazon.ca/s?k=displayport+1.4+cable+10+ft"/>
    <hyperlink ref="K9" r:id="rId3" display="https://www.amazon.ca/dp/B014I8T0YQ"/>
    <hyperlink ref="L9" r:id="rId4" display="https://www.amazon.ca/s?k=hdmi+cable+10+ft"/>
    <hyperlink ref="K10" r:id="rId5" display="https://www.amazon.ca/dp/B06WD33P34"/>
    <hyperlink ref="L10" r:id="rId6" display="https://www.amazon.ca/s?k=displayport+to+dvi-d+cable+10+ft"/>
    <hyperlink ref="K11" r:id="rId7" display="https://www.amazon.ca/dp/B07ZRBRDHG"/>
    <hyperlink ref="L11" r:id="rId8" display="https://www.amazon.ca/s?k=usb+a+to+usb+b+cable+10+ft"/>
    <hyperlink ref="K12" r:id="rId9" display="https://www.amazon.ca/dp/B0CLZ9J2F5"/>
    <hyperlink ref="L12" r:id="rId10" display="https://www.amazon.ca/s?k=usb+a+to+usb+c+data+cable+6+ft+3+pack"/>
    <hyperlink ref="K13" r:id="rId11" display="https://www.amazon.ca/dp/B00SCX6I8A"/>
    <hyperlink ref="L13" r:id="rId12" display="https://www.amazon.ca/s?k=powered+usb+3.0+hub+7+port"/>
    <hyperlink ref="K14" r:id="rId13" display="https://www.amazon.ca/dp/B073YLYBJF"/>
    <hyperlink ref="L14" r:id="rId14" display="https://www.amazon.ca/s?k=braided+cable+sleeve+1+inch+25+ft"/>
    <hyperlink ref="K15" r:id="rId15" display="https://www.amazon.ca/dp/B0D93FLZLH"/>
    <hyperlink ref="L15" r:id="rId16" display="https://www.amazon.ca/s?k=ESP32-S3-DevKitC-1+N8R8"/>
    <hyperlink ref="K16" r:id="rId17" display="https://www.amazon.ca/dp/B0D2THXFQ6"/>
    <hyperlink ref="L16" r:id="rId18" display="https://www.amazon.ca/s?k=SN74HC165N+DIP-16"/>
    <hyperlink ref="K17" r:id="rId19" display="https://www.amazon.ca/dp/B01GOLSUAU"/>
    <hyperlink ref="L17" r:id="rId20" display="https://www.amazon.ca/s?k=dip+ic+socket+assortment"/>
    <hyperlink ref="K18" r:id="rId21" display="https://www.amazon.ca/dp/B0D4BXJ1SX"/>
    <hyperlink ref="L18" r:id="rId22" display="https://www.amazon.ca/s?k=10k+bussed+resistor+network+sip+9+A103J"/>
    <hyperlink ref="K19" r:id="rId23" display="https://www.amazon.ca/dp/B09JWTW1GT"/>
    <hyperlink ref="L19" r:id="rId24" display="https://www.amazon.ca/s?k=100nf+ceramic+capacitor+104+100pcs"/>
    <hyperlink ref="K20" r:id="rId25" display="https://www.amazon.ca/dp/B07KC99W2K"/>
    <hyperlink ref="L20" r:id="rId26" display="https://www.amazon.ca/s?k=electrolytic+capacitor+assortment+1000uf"/>
    <hyperlink ref="K21" r:id="rId27" display="https://www.amazon.ca/dp/B0C6FNV224"/>
    <hyperlink ref="L21" r:id="rId28" display="https://www.amazon.ca/s?k=74AHCT125N+DIP-14"/>
    <hyperlink ref="K22" r:id="rId29" display="https://www.amazon.ca/dp/B07P3MFG5D"/>
    <hyperlink ref="L22" r:id="rId30" display="https://www.amazon.ca/s?k=resistor+assortment+kit+1%2F4w+metal+film"/>
    <hyperlink ref="K23" r:id="rId31" display="https://www.amazon.ca/dp/B0185FKB2S"/>
    <hyperlink ref="L23" r:id="rId32" display="https://www.amazon.ca/s?k=2.2k+ohm+1%2F2w+resistor"/>
    <hyperlink ref="K24" r:id="rId33" display="https://www.amazon.ca/dp/B01JG8EJVW"/>
    <hyperlink ref="L24" r:id="rId34" display="https://www.amazon.ca/s?k=pc817+optocoupler+dip"/>
    <hyperlink ref="K25" r:id="rId35" display="https://www.amazon.ca/dp/B07GJ788H4"/>
    <hyperlink ref="L25" r:id="rId36" display="https://www.amazon.ca/s?k=perfboard+7x9+cm"/>
    <hyperlink ref="K26" r:id="rId37" display="https://www.amazon.ca/dp/B01GY36RJY"/>
    <hyperlink ref="L26" r:id="rId38" display="https://www.amazon.ca/s?k=2.54mm+male+female+pin+header+kit"/>
    <hyperlink ref="K27" r:id="rId39" display="https://www.amazon.ca/dp/B08G18PWQ6"/>
    <hyperlink ref="L27" r:id="rId40" display="https://www.amazon.ca/s?k=jst+xh+connector+kit+pre+crimped"/>
    <hyperlink ref="K28" r:id="rId41" display="https://www.amazon.ca/dp/B01EV70C78"/>
    <hyperlink ref="L28" r:id="rId42" display="https://www.amazon.ca/s?k=dupont+jumper+wires"/>
    <hyperlink ref="K29" r:id="rId43" display="https://www.amazon.ca/dp/B007NZGPAY"/>
    <hyperlink ref="L29" r:id="rId44" display="https://www.amazon.ca/s?k=cat6+patch+cable+25+ft"/>
    <hyperlink ref="K30" r:id="rId45" display="https://www.amazon.ca/dp/B089CQHRDT"/>
    <hyperlink ref="L30" r:id="rId46" display="https://www.amazon.ca/s?k=22+awg+stranded+hookup+wire+kit"/>
    <hyperlink ref="K31" r:id="rId47" display="https://www.amazon.ca/dp/B0CX9FDTJ8"/>
    <hyperlink ref="L31" r:id="rId48" display="https://www.amazon.ca/s?k=mts-102+mini+toggle+switch+6mm"/>
    <hyperlink ref="K32" r:id="rId49" display="https://www.amazon.ca/dp/B0D47RXXMK"/>
    <hyperlink ref="L32" r:id="rId50" display="https://www.amazon.ca/s?k=mts-103+on-off-on+mini+toggle"/>
    <hyperlink ref="K33" r:id="rId51" display="https://www.amazon.ca/dp/B09F39MBKD"/>
    <hyperlink ref="L33" r:id="rId52" display="https://www.amazon.ca/s?k=22mm+momentary+push+button"/>
    <hyperlink ref="K34" r:id="rId53" display="https://www.amazon.ca/dp/B0GGYZJFHD"/>
    <hyperlink ref="L34" r:id="rId54" display="https://www.amazon.ca/s?k=19mm+momentary+push+button+metal"/>
    <hyperlink ref="K35" r:id="rId55" display="https://www.amazon.ca/dp/B081JJBN4G"/>
    <hyperlink ref="L35" r:id="rId56" display="https://www.amazon.ca/s?k=16mm+momentary+push+button+metal"/>
    <hyperlink ref="K36" r:id="rId57" display="https://www.amazon.ca/dp/B07VCNNV88"/>
    <hyperlink ref="L36" r:id="rId58" display="https://www.amazon.ca/s?k=ec11+rotary+encoder+with+knob"/>
    <hyperlink ref="K37" r:id="rId59" display="https://www.amazon.ca/dp/B0CLP8SVJN"/>
    <hyperlink ref="L37" r:id="rId60" display="https://www.amazon.ca/s?k=b10k+linear+potentiometer+6mm+d+shaft"/>
    <hyperlink ref="K38" r:id="rId61" display="https://www.amazon.ca/dp/B0F9XYYSPZ"/>
    <hyperlink ref="L38" r:id="rId62" display="https://www.amazon.ca/s?k=kw11+micro+switch+lever"/>
    <hyperlink ref="K39" r:id="rId63" display="https://www.amazon.ca/dp/B09M849WCK"/>
    <hyperlink ref="L39" r:id="rId64" display="https://www.amazon.ca/s?k=19mm+key+switch+2+position"/>
    <hyperlink ref="K40" r:id="rId65" display="https://www.amazon.ca/dp/B0F8VDHK22"/>
    <hyperlink ref="L40" r:id="rId66" display="https://www.amazon.ca/s?k=ws2812b+5m+60+led+ip30"/>
    <hyperlink ref="L41" r:id="rId67" display="https://www.amazon.ca/s?k=WS2812D-F5+5mm+addressable+RGB+LED"/>
    <hyperlink ref="K42" r:id="rId68" display="https://www.amazon.ca/dp/B0DJR583BY"/>
    <hyperlink ref="L42" r:id="rId69" display="https://www.amazon.ca/s?k=5mm+led+holder+bezel"/>
    <hyperlink ref="K43" r:id="rId70" display="https://www.amazon.ca/dp/B019GYOCMM"/>
    <hyperlink ref="L43" r:id="rId71" display="https://www.amazon.ca/s?k=mean+well+lrs-50-5"/>
    <hyperlink ref="K44" r:id="rId72" display="https://www.amazon.ca/dp/B07X8WL5TC"/>
    <hyperlink ref="L44" r:id="rId73" display="https://www.amazon.ca/s?k=inline+fuse+holder+5x20+kit"/>
    <hyperlink ref="K45" r:id="rId74" display="https://www.amazon.ca/dp/B0CNRTZ4N3"/>
    <hyperlink ref="L45" r:id="rId75" display="https://www.amazon.ca/s?k=16+awg+red+black+wire+copper"/>
    <hyperlink ref="K46" r:id="rId76" display="https://www.amazon.ca/dp/B07HGTKQ89"/>
    <hyperlink ref="L46" r:id="rId77" display="https://www.amazon.ca/s?k=18+awg+red+black+silicone+wire"/>
    <hyperlink ref="K47" r:id="rId78" display="https://www.amazon.ca/dp/B0CP94DL4F"/>
    <hyperlink ref="L47" r:id="rId79" display="https://www.amazon.ca/s?k=jst+sm+3+pin+connector+ws2812"/>
    <hyperlink ref="K48" r:id="rId80" display="https://www.amazon.ca/dp/B0D41Y3WWZ"/>
    <hyperlink ref="L48" r:id="rId81" display="https://www.amazon.ca/s?k=petg+filament+1.75+black+1kg"/>
    <hyperlink ref="K49" r:id="rId82" display="https://www.amazon.ca/dp/B0CMC78XKT"/>
    <hyperlink ref="L49" r:id="rId83" display="https://www.amazon.ca/s?k=petg+filament+1.75+white+1kg"/>
    <hyperlink ref="K50" r:id="rId84" display="https://www.amazon.ca/dp/B0CNRSJ1B2"/>
    <hyperlink ref="L50" r:id="rId85" display="https://www.amazon.ca/s?k=heat+set+inserts+kit+m3+m4"/>
    <hyperlink ref="K51" r:id="rId86" display="https://www.amazon.ca/dp/B0C38YFL3D"/>
    <hyperlink ref="L51" r:id="rId87" display="https://www.amazon.ca/s?k=m2+m3+m4+m5+socket+head+screw+assortment"/>
    <hyperlink ref="K52" r:id="rId88" display="https://www.amazon.ca/dp/B09CT54JJZ"/>
    <hyperlink ref="L52" r:id="rId89" display="https://www.amazon.ca/s?k=self+tapping+screw+assortment+m2.5+m3"/>
    <hyperlink ref="K53" r:id="rId90" display="https://kent.ca/en/2-x-4-x-8-spf-stud-kiln-dried-1016318"/>
    <hyperlink ref="L53" r:id="rId91" display="https://kent.ca/en/search?q=2x4x8+stud"/>
    <hyperlink ref="K54" r:id="rId92" display="https://kent.ca/en/2-x-4-x-10-2-better-spf-lumber-kiln-dried-1016338"/>
    <hyperlink ref="L54" r:id="rId93" display="https://kent.ca/en/search?q=2x4x10"/>
    <hyperlink ref="K55" r:id="rId94" display="https://kent.ca/en/3-4-x-4-x-8-18-5mm-spruce-plywood-standard-1015824"/>
    <hyperlink ref="L55" r:id="rId95" display="https://kent.ca/en/search?q=3%2F4+plywood+4x8"/>
    <hyperlink ref="K56" r:id="rId96" display="https://kent.ca/en/1-2-x-4-x-8-12-5mm-spruce-plywood-standard-1015823"/>
    <hyperlink ref="L56" r:id="rId97" display="https://kent.ca/en/search?q=1%2F2+plywood+4x8"/>
    <hyperlink ref="K57" r:id="rId98" display="https://kent.ca/en/1-4-x-4-x-8-meranti-plywood-1015821"/>
    <hyperlink ref="L57" r:id="rId99" display="https://kent.ca/en/search?q=1%2F4+hardboard+4x8"/>
    <hyperlink ref="L58" r:id="rId100" display="https://kent.ca/en/search?q=construction+screws+%2310+x+3"/>
    <hyperlink ref="L59" r:id="rId101" display="https://kent.ca/en/search?q=wood+screws+%238+x+1-1%2F2"/>
    <hyperlink ref="L60" r:id="rId102" display="https://kent.ca/en/search?q=wood+screws+%238+x+1"/>
    <hyperlink ref="L61" r:id="rId103" display="https://kent.ca/en/search?q=wood+glue+1+l"/>
    <hyperlink ref="K62" r:id="rId104" display="https://www.amazon.ca/dp/B0FF4HDSK3"/>
    <hyperlink ref="L62" r:id="rId105" display="https://www.amazon.ca/s?k=m5+tee+nut+4+prong+200"/>
    <hyperlink ref="K63" r:id="rId106" display="https://www.amazon.ca/dp/B0FR1FQ1B7"/>
    <hyperlink ref="L63" r:id="rId107" display="https://www.amazon.ca/s?k=m5+x+20+button+head+socket+screw+black"/>
    <hyperlink ref="K64" r:id="rId108" display="https://www.amazon.ca/dp/B0GX28963L"/>
    <hyperlink ref="L64" r:id="rId109" display="https://www.amazon.ca/s?k=m5+flat+washers+200"/>
    <hyperlink ref="L65" r:id="rId110" display="https://kent.ca/en/search?q=m6+x+50+carriage+bolt"/>
    <hyperlink ref="K66" r:id="rId111" display="https://www.amazon.ca/dp/B0FQP7W6J3"/>
    <hyperlink ref="L66" r:id="rId112" display="https://www.amazon.ca/s?k=2mm+stainless+safety+cable+loops+12+inch"/>
    <hyperlink ref="L67" r:id="rId113" display="https://kent.ca/en/search?q=m6+x+30+bolt"/>
    <hyperlink ref="K68" r:id="rId114" display="https://www.amazon.ca/dp/B0G5ZDQB47"/>
    <hyperlink ref="L68" r:id="rId115" display="https://www.amazon.ca/s?k=25mm+shaft+1000mm"/>
    <hyperlink ref="L69" r:id="rId116" display="https://www.google.com/search?q=25mm+steel+round+bar+Fredericton+NB"/>
    <hyperlink ref="K70" r:id="rId117" display="https://www.amazon.ca/dp/B0D9RTBQF2"/>
    <hyperlink ref="L70" r:id="rId118" display="https://www.amazon.ca/s?k=shf25+shaft+support"/>
    <hyperlink ref="K71" r:id="rId119" display="https://www.amazon.ca/dp/B08HJYZK1X"/>
    <hyperlink ref="L71" r:id="rId120" display="https://www.amazon.ca/s?k=ucp205+pillow+block+bearing+25mm"/>
    <hyperlink ref="K72" r:id="rId121" display="https://www.amazon.ca/dp/B0BLLVF9DB"/>
    <hyperlink ref="L72" r:id="rId122" display="https://www.amazon.ca/s?k=ucf205+flange+bearing+25mm"/>
    <hyperlink ref="K73" r:id="rId123" display="https://www.amazon.ca/dp/B0G2Q98L26"/>
    <hyperlink ref="L73" r:id="rId124" display="https://www.amazon.ca/s?k=25mm+shaft+collar+steel"/>
    <hyperlink ref="L74" r:id="rId125" display="https://www.google.com/search?q=6mm+steel+plate+Fredericton+NB"/>
    <hyperlink ref="L75" r:id="rId126" display="https://kent.ca/en/search?q=m10+x+90+lag+screw"/>
    <hyperlink ref="L76" r:id="rId127" display="https://kent.ca/en/search?q=m8+x+60+bolt"/>
    <hyperlink ref="K77" r:id="rId128" display="https://www.amazon.ca/dp/B0FKMS7Y12"/>
    <hyperlink ref="L77" r:id="rId129" display="https://www.amazon.ca/s?k=12v+linear+actuator+10+inch+stroke+330+lbs"/>
    <hyperlink ref="K78" r:id="rId130" display="https://www.amazon.ca/dp/B0FKMVCQPC"/>
    <hyperlink ref="L78" r:id="rId131" display="https://www.amazon.ca/s?k=12v+linear+actuator+12+inch+stroke+330+lbs+1500N"/>
    <hyperlink ref="L79" r:id="rId132" display="https://www.amazon.ca/s?k=gas+strut+1000N+250mm+M8+eyelet+pair"/>
    <hyperlink ref="L80" r:id="rId133" display="https://kent.ca/en/search?q=heavy+steel+angle+bracket"/>
    <hyperlink ref="L81" r:id="rId134" display="https://www.google.com/search?q=2x2x1%2F8+square+steel+tube+Fredericton+NB"/>
    <hyperlink ref="L82" r:id="rId135" display="https://www.google.com/search?q=6mm+steel+plate+cut+to+size+welding+Fredericton+NB"/>
    <hyperlink ref="L83" r:id="rId136" display="https://kent.ca/en/search?q=m10+x+70+bolt+grade+8.8"/>
    <hyperlink ref="L84" r:id="rId137" display="https://www.google.com/search?q=laser+cutting+steel+plate+Fredericton+NB"/>
    <hyperlink ref="K85" r:id="rId138" display="https://www.amazon.ca/dp/B07GZHSCP6"/>
    <hyperlink ref="L85" r:id="rId139" display="https://www.amazon.ca/s?k=spring+loaded+barrel+bolt+latch+heavy+duty"/>
    <hyperlink ref="K86" r:id="rId140" display="https://www.amazon.ca/dp/B0B8C66T4Q"/>
    <hyperlink ref="L86" r:id="rId141" display="https://www.amazon.ca/s?k=bicycle+brake+lever+cable+set"/>
    <hyperlink ref="L87" r:id="rId142" display="https://kent.ca/en/search?q=1%2F2+inch+clevis+pin"/>
    <hyperlink ref="K88" r:id="rId143" display="https://www.amazon.ca/dp/B0D1XSZ8SF"/>
    <hyperlink ref="L88" r:id="rId144" display="https://www.amazon.ca/s?k=rubber+bumper+pads+with+screws"/>
    <hyperlink ref="K89" r:id="rId145" display="https://www.amazon.ca/dp/B07RJMG3FB"/>
    <hyperlink ref="L89" r:id="rId146" display="https://www.amazon.ca/s?k=12v+20a+power+supply+enclosed"/>
    <hyperlink ref="K90" r:id="rId147" display="https://www.amazon.ca/dp/B0BHY1RQQR"/>
    <hyperlink ref="L90" r:id="rId148" display="https://www.amazon.ca/s?k=12+awg+inline+atc+fuse+holder"/>
    <hyperlink ref="K91" r:id="rId149" display="https://www.amazon.ca/dp/B09M849WCK"/>
    <hyperlink ref="L91" r:id="rId150" display="https://www.amazon.ca/s?k=19mm+key+switch+2+position"/>
    <hyperlink ref="K92" r:id="rId151" display="https://www.amazon.ca/dp/B019DSZWPC"/>
    <hyperlink ref="L92" r:id="rId152" display="https://www.amazon.ca/s?k=22mm+emergency+stop+nc"/>
    <hyperlink ref="K93" r:id="rId153" display="https://www.amazon.ca/dp/B0C22K75FZ"/>
    <hyperlink ref="L93" r:id="rId154" display="https://www.amazon.ca/s?k=dpdt+momentary+toggle+on+off+on"/>
    <hyperlink ref="K94" r:id="rId155" display="https://www.amazon.ca/dp/B0DNJVMMF9"/>
    <hyperlink ref="L94" r:id="rId156" display="https://www.amazon.ca/s?k=12v+30a+relay+spdt+5+pin"/>
    <hyperlink ref="K95" r:id="rId157" display="https://www.amazon.ca/dp/B0F8HJ4V9J"/>
    <hyperlink ref="L95" r:id="rId158" display="https://www.amazon.ca/s?k=v-156-1c25+roller+lever+micro+switch+15a"/>
    <hyperlink ref="K96" r:id="rId159" display="https://www.amazon.ca/dp/B079KF3VJG"/>
    <hyperlink ref="L96" r:id="rId160" display="https://www.amazon.ca/s?k=6a10+diode"/>
    <hyperlink ref="L97" r:id="rId161" display="https://www.amazon.ca/s?k=pressure+sensitive+safety+edge+NC"/>
    <hyperlink ref="K98" r:id="rId162" display="https://www.amazon.ca/dp/B0CXY76JGX"/>
    <hyperlink ref="L98" r:id="rId163" display="https://www.amazon.ca/s?k=14+awg+red+black+copper+wire+50+ft"/>
    <hyperlink ref="K99" r:id="rId164" display="https://www.amazon.ca/dp/B0B569WMNP"/>
    <hyperlink ref="L99" r:id="rId165" display="https://www.amazon.ca/s?k=heat+shrink+ring+terminal+kit"/>
    <hyperlink ref="L100" r:id="rId166" display="https://www.amazon.ca/s?k=strip+brush+aluminum+holder+25mm"/>
    <hyperlink ref="K101" r:id="rId167" display="https://www.amazon.ca/dp/B0DQXC46NQ"/>
    <hyperlink ref="L101" r:id="rId168" display="https://www.amazon.ca/s?k=high+density+foam+1+inch+24+x+72"/>
    <hyperlink ref="K102" r:id="rId169" display="https://www.amazon.ca/dp/B0B3J1GCVQ"/>
    <hyperlink ref="L102" r:id="rId170" display="https://www.amazon.ca/s?k=1+inch+side+release+buckle+kit"/>
    <hyperlink ref="K103" r:id="rId171" display="https://www.amazon.ca/dp/B0B7RHCFMV"/>
    <hyperlink ref="L103" r:id="rId172" display="https://www.amazon.ca/s?k=1+inch+rated+webbing+4000+lb+polyester"/>
    <hyperlink ref="K104" r:id="rId173" display="https://www.amazon.ca/dp/B0D781P6JB"/>
    <hyperlink ref="L104" r:id="rId174" display="https://www.amazon.ca/s?k=welded+steel+o+ring+2+inch+heavy+duty"/>
    <hyperlink ref="K105" r:id="rId175" display="https://www.amazon.ca/dp/B0CS9SL864"/>
    <hyperlink ref="L105" r:id="rId176" display="https://www.amazon.ca/s?k=welded+steel+d+ring+1+inch"/>
    <hyperlink ref="L106" r:id="rId177" display="https://kent.ca/en/search?q=forged+eye+bolt+3%2F8"/>
    <hyperlink ref="K107" r:id="rId178" display="https://www.amazon.ca/dp/B0BFPZ5ZGW"/>
    <hyperlink ref="L107" r:id="rId179" display="https://www.amazon.ca/s?k=2+point+lap+belt+adjustable"/>
    <hyperlink ref="K108" r:id="rId180" display="https://www.amazon.ca/dp/B078SJ86G7"/>
    <hyperlink ref="L108" r:id="rId181" display="https://www.amazon.ca/s?k=high+density+foam+2+inch+24+x+72"/>
    <hyperlink ref="K109" r:id="rId182" display="https://www.amazon.ca/dp/B0744QFFS8"/>
    <hyperlink ref="L109" r:id="rId183" display="https://www.amazon.ca/s?k=marine+vinyl+fabric+black"/>
    <hyperlink ref="K110" r:id="rId184" display="https://www.amazon.ca/dp/B08TB7NLJB"/>
    <hyperlink ref="L110" r:id="rId185" display="https://www.amazon.ca/s?k=4+point+harness+metal+buckle+2+in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8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8"/>
    <col collapsed="false" customWidth="true" hidden="false" outlineLevel="0" max="4" min="3" style="0" width="18"/>
  </cols>
  <sheetData>
    <row r="1" customFormat="false" ht="15" hidden="false" customHeight="false" outlineLevel="0" collapsed="false">
      <c r="A1" s="8" t="s">
        <v>0</v>
      </c>
      <c r="B1" s="8" t="s">
        <v>545</v>
      </c>
      <c r="C1" s="8" t="s">
        <v>546</v>
      </c>
      <c r="D1" s="8" t="s">
        <v>547</v>
      </c>
    </row>
    <row r="2" customFormat="false" ht="15" hidden="false" customHeight="false" outlineLevel="0" collapsed="false">
      <c r="A2" s="0" t="s">
        <v>15</v>
      </c>
      <c r="B2" s="0" t="n">
        <f aca="false">COUNTIF(BOM!$A$2:$A$110,A2)</f>
        <v>6</v>
      </c>
      <c r="C2" s="0" t="n">
        <f aca="false">COUNTIFS(BOM!$A$2:$A$110,A2,BOM!$G$2:$G$110,"&gt;0")</f>
        <v>0</v>
      </c>
      <c r="D2" s="9" t="n">
        <f aca="false">SUMIF(BOM!$A$2:$A$110,A2,BOM!$I$2:$I$110)</f>
        <v>0</v>
      </c>
    </row>
    <row r="3" customFormat="false" ht="15" hidden="false" customHeight="false" outlineLevel="0" collapsed="false">
      <c r="A3" s="0" t="s">
        <v>35</v>
      </c>
      <c r="B3" s="0" t="n">
        <f aca="false">COUNTIF(BOM!$A$2:$A$110,A3)</f>
        <v>7</v>
      </c>
      <c r="C3" s="0" t="n">
        <f aca="false">COUNTIFS(BOM!$A$2:$A$110,A3,BOM!$G$2:$G$110,"&gt;0")</f>
        <v>7</v>
      </c>
      <c r="D3" s="9" t="n">
        <f aca="false">SUMIF(BOM!$A$2:$A$110,A3,BOM!$I$2:$I$110)</f>
        <v>123.69</v>
      </c>
    </row>
    <row r="4" customFormat="false" ht="15" hidden="false" customHeight="false" outlineLevel="0" collapsed="false">
      <c r="A4" s="0" t="s">
        <v>74</v>
      </c>
      <c r="B4" s="0" t="n">
        <f aca="false">COUNTIF(BOM!$A$2:$A$110,A4)</f>
        <v>16</v>
      </c>
      <c r="C4" s="0" t="n">
        <f aca="false">COUNTIFS(BOM!$A$2:$A$110,A4,BOM!$G$2:$G$110,"&gt;0")</f>
        <v>16</v>
      </c>
      <c r="D4" s="9" t="n">
        <f aca="false">SUMIF(BOM!$A$2:$A$110,A4,BOM!$I$2:$I$110)</f>
        <v>295.28</v>
      </c>
    </row>
    <row r="5" customFormat="false" ht="15" hidden="false" customHeight="false" outlineLevel="0" collapsed="false">
      <c r="A5" s="0" t="s">
        <v>154</v>
      </c>
      <c r="B5" s="0" t="n">
        <f aca="false">COUNTIF(BOM!$A$2:$A$110,A5)</f>
        <v>9</v>
      </c>
      <c r="C5" s="0" t="n">
        <f aca="false">COUNTIFS(BOM!$A$2:$A$110,A5,BOM!$G$2:$G$110,"&gt;0")</f>
        <v>9</v>
      </c>
      <c r="D5" s="9" t="n">
        <f aca="false">SUMIF(BOM!$A$2:$A$110,A5,BOM!$I$2:$I$110)</f>
        <v>198.92</v>
      </c>
    </row>
    <row r="6" customFormat="false" ht="15" hidden="false" customHeight="false" outlineLevel="0" collapsed="false">
      <c r="A6" s="0" t="s">
        <v>200</v>
      </c>
      <c r="B6" s="0" t="n">
        <f aca="false">COUNTIF(BOM!$A$2:$A$110,A6)</f>
        <v>8</v>
      </c>
      <c r="C6" s="0" t="n">
        <f aca="false">COUNTIFS(BOM!$A$2:$A$110,A6,BOM!$G$2:$G$110,"&gt;0")</f>
        <v>8</v>
      </c>
      <c r="D6" s="9" t="n">
        <f aca="false">SUMIF(BOM!$A$2:$A$110,A6,BOM!$I$2:$I$110)</f>
        <v>177.14</v>
      </c>
    </row>
    <row r="7" customFormat="false" ht="15" hidden="false" customHeight="false" outlineLevel="0" collapsed="false">
      <c r="A7" s="0" t="s">
        <v>241</v>
      </c>
      <c r="B7" s="0" t="n">
        <f aca="false">COUNTIF(BOM!$A$2:$A$110,A7)</f>
        <v>5</v>
      </c>
      <c r="C7" s="0" t="n">
        <f aca="false">COUNTIFS(BOM!$A$2:$A$110,A7,BOM!$G$2:$G$110,"&gt;0")</f>
        <v>5</v>
      </c>
      <c r="D7" s="9" t="n">
        <f aca="false">SUMIF(BOM!$A$2:$A$110,A7,BOM!$I$2:$I$110)</f>
        <v>213.5</v>
      </c>
    </row>
    <row r="8" customFormat="false" ht="15" hidden="false" customHeight="false" outlineLevel="0" collapsed="false">
      <c r="A8" s="0" t="s">
        <v>267</v>
      </c>
      <c r="B8" s="0" t="n">
        <f aca="false">COUNTIF(BOM!$A$2:$A$110,A8)</f>
        <v>5</v>
      </c>
      <c r="C8" s="0" t="n">
        <f aca="false">COUNTIFS(BOM!$A$2:$A$110,A8,BOM!$G$2:$G$110,"&gt;0")</f>
        <v>5</v>
      </c>
      <c r="D8" s="9" t="n">
        <f aca="false">SUMIF(BOM!$A$2:$A$110,A8,BOM!$I$2:$I$110)</f>
        <v>676.07</v>
      </c>
    </row>
    <row r="9" customFormat="false" ht="15" hidden="false" customHeight="false" outlineLevel="0" collapsed="false">
      <c r="A9" s="0" t="s">
        <v>296</v>
      </c>
      <c r="B9" s="0" t="n">
        <f aca="false">COUNTIF(BOM!$A$2:$A$110,A9)</f>
        <v>10</v>
      </c>
      <c r="C9" s="0" t="n">
        <f aca="false">COUNTIFS(BOM!$A$2:$A$110,A9,BOM!$G$2:$G$110,"&gt;0")</f>
        <v>10</v>
      </c>
      <c r="D9" s="9" t="n">
        <f aca="false">SUMIF(BOM!$A$2:$A$110,A9,BOM!$I$2:$I$110)</f>
        <v>207.32</v>
      </c>
    </row>
    <row r="10" customFormat="false" ht="15" hidden="false" customHeight="false" outlineLevel="0" collapsed="false">
      <c r="A10" s="0" t="s">
        <v>341</v>
      </c>
      <c r="B10" s="0" t="n">
        <f aca="false">COUNTIF(BOM!$A$2:$A$110,A10)</f>
        <v>9</v>
      </c>
      <c r="C10" s="0" t="n">
        <f aca="false">COUNTIFS(BOM!$A$2:$A$110,A10,BOM!$G$2:$G$110,"&gt;0")</f>
        <v>9</v>
      </c>
      <c r="D10" s="9" t="n">
        <f aca="false">SUMIF(BOM!$A$2:$A$110,A10,BOM!$I$2:$I$110)</f>
        <v>295.28</v>
      </c>
    </row>
    <row r="11" customFormat="false" ht="15" hidden="false" customHeight="false" outlineLevel="0" collapsed="false">
      <c r="A11" s="0" t="s">
        <v>382</v>
      </c>
      <c r="B11" s="0" t="n">
        <f aca="false">COUNTIF(BOM!$A$2:$A$110,A11)</f>
        <v>12</v>
      </c>
      <c r="C11" s="0" t="n">
        <f aca="false">COUNTIFS(BOM!$A$2:$A$110,A11,BOM!$G$2:$G$110,"&gt;0")</f>
        <v>12</v>
      </c>
      <c r="D11" s="9" t="n">
        <f aca="false">SUMIF(BOM!$A$2:$A$110,A11,BOM!$I$2:$I$110)</f>
        <v>519.44</v>
      </c>
    </row>
    <row r="12" customFormat="false" ht="15" hidden="false" customHeight="false" outlineLevel="0" collapsed="false">
      <c r="A12" s="0" t="s">
        <v>434</v>
      </c>
      <c r="B12" s="0" t="n">
        <f aca="false">COUNTIF(BOM!$A$2:$A$110,A12)</f>
        <v>11</v>
      </c>
      <c r="C12" s="0" t="n">
        <f aca="false">COUNTIFS(BOM!$A$2:$A$110,A12,BOM!$G$2:$G$110,"&gt;0")</f>
        <v>11</v>
      </c>
      <c r="D12" s="9" t="n">
        <f aca="false">SUMIF(BOM!$A$2:$A$110,A12,BOM!$I$2:$I$110)</f>
        <v>388.84</v>
      </c>
    </row>
    <row r="13" customFormat="false" ht="15" hidden="false" customHeight="false" outlineLevel="0" collapsed="false">
      <c r="A13" s="0" t="s">
        <v>488</v>
      </c>
      <c r="B13" s="0" t="n">
        <f aca="false">COUNTIF(BOM!$A$2:$A$110,A13)</f>
        <v>2</v>
      </c>
      <c r="C13" s="0" t="n">
        <f aca="false">COUNTIFS(BOM!$A$2:$A$110,A13,BOM!$G$2:$G$110,"&gt;0")</f>
        <v>2</v>
      </c>
      <c r="D13" s="9" t="n">
        <f aca="false">SUMIF(BOM!$A$2:$A$110,A13,BOM!$I$2:$I$110)</f>
        <v>92.15</v>
      </c>
    </row>
    <row r="14" customFormat="false" ht="15" hidden="false" customHeight="false" outlineLevel="0" collapsed="false">
      <c r="A14" s="0" t="s">
        <v>498</v>
      </c>
      <c r="B14" s="0" t="n">
        <f aca="false">COUNTIF(BOM!$A$2:$A$110,A14)</f>
        <v>8</v>
      </c>
      <c r="C14" s="0" t="n">
        <f aca="false">COUNTIFS(BOM!$A$2:$A$110,A14,BOM!$G$2:$G$110,"&gt;0")</f>
        <v>8</v>
      </c>
      <c r="D14" s="9" t="n">
        <f aca="false">SUMIF(BOM!$A$2:$A$110,A14,BOM!$I$2:$I$110)</f>
        <v>248.17</v>
      </c>
    </row>
    <row r="15" customFormat="false" ht="15" hidden="false" customHeight="false" outlineLevel="0" collapsed="false">
      <c r="A15" s="0" t="s">
        <v>539</v>
      </c>
      <c r="B15" s="0" t="n">
        <f aca="false">COUNTIF(BOM!$A$2:$A$110,A15)</f>
        <v>1</v>
      </c>
      <c r="C15" s="0" t="n">
        <f aca="false">COUNTIFS(BOM!$A$2:$A$110,A15,BOM!$G$2:$G$110,"&gt;0")</f>
        <v>1</v>
      </c>
      <c r="D15" s="9" t="n">
        <f aca="false">SUMIF(BOM!$A$2:$A$110,A15,BOM!$I$2:$I$110)</f>
        <v>111.98</v>
      </c>
    </row>
    <row r="17" customFormat="false" ht="15" hidden="false" customHeight="false" outlineLevel="0" collapsed="false">
      <c r="A17" s="10" t="s">
        <v>548</v>
      </c>
      <c r="C17" s="0" t="n">
        <f aca="false">SUMPRODUCT((ISERROR(SEARCH("ALTERNATIVE",A2:A15)))*C2:C15)</f>
        <v>102</v>
      </c>
      <c r="D17" s="11" t="n">
        <f aca="false">SUMPRODUCT((ISERROR(SEARCH("ALTERNATIVE",A2:A15)))*D2:D15)</f>
        <v>3435.8</v>
      </c>
    </row>
    <row r="18" customFormat="false" ht="15" hidden="false" customHeight="false" outlineLevel="0" collapsed="false">
      <c r="A18" s="0" t="s">
        <v>549</v>
      </c>
      <c r="D18" s="9" t="n">
        <f aca="false">SUMPRODUCT((BOM!$J$2:$J$110="Amazon.ca")*ISERROR(SEARCH("ALTERNATIVE",BOM!$A$2:$A$110))*N(+BOM!$I$2:$I$110))</f>
        <v>2168.73</v>
      </c>
    </row>
    <row r="19" customFormat="false" ht="15" hidden="false" customHeight="false" outlineLevel="0" collapsed="false">
      <c r="A19" s="0" t="s">
        <v>550</v>
      </c>
      <c r="D19" s="9" t="n">
        <f aca="false">SUMPRODUCT(ISNUMBER(SEARCH("Kent",BOM!$J$2:$J$110))*N(+BOM!$I$2:$I$110))</f>
        <v>912.07</v>
      </c>
    </row>
    <row r="20" customFormat="false" ht="15" hidden="false" customHeight="false" outlineLevel="0" collapsed="false">
      <c r="A20" s="0" t="s">
        <v>551</v>
      </c>
      <c r="D20" s="9" t="n">
        <f aca="false">SUMPRODUCT((ISNUMBER(SEARCH("supplier",BOM!$J$2:$J$110)))*N(+BOM!$I$2:$I$110))</f>
        <v>355</v>
      </c>
    </row>
    <row r="21" customFormat="false" ht="15" hidden="false" customHeight="false" outlineLevel="0" collapsed="false">
      <c r="A21" s="0" t="s">
        <v>552</v>
      </c>
      <c r="D21" s="9" t="n">
        <f aca="false">SUMPRODUCT((ISNUMBER(SEARCH("Verified amazon.ca price",BOM!$N$2:$N$110))+ISNUMBER(SEARCH("Kent.ca web price",BOM!$N$2:$N$110))&gt;0)*ISERROR(SEARCH("ALTERNATIVE",BOM!$A$2:$A$110))*N(+BOM!$I$2:$I$110))</f>
        <v>2691.8</v>
      </c>
    </row>
    <row r="22" customFormat="false" ht="15" hidden="false" customHeight="false" outlineLevel="0" collapsed="false">
      <c r="A22" s="0" t="s">
        <v>553</v>
      </c>
      <c r="D22" s="9" t="n">
        <f aca="false">SUMPRODUCT((ISNUMBER(SEARCH("estimate",BOM!$N$2:$N$110)))*ISERROR(SEARCH("ALTERNATIVE",BOM!$A$2:$A$110))*N(+BOM!$I$2:$I$110))</f>
        <v>744</v>
      </c>
    </row>
    <row r="23" customFormat="false" ht="15" hidden="false" customHeight="false" outlineLevel="0" collapsed="false">
      <c r="A23" s="0" t="s">
        <v>554</v>
      </c>
      <c r="D23" s="9" t="n">
        <f aca="false">SUMPRODUCT(ISNUMBER(SEARCH("ALTERNATIVE",BOM!$A$2:$A$110))*N(+BOM!$I$2:$I$110))</f>
        <v>111.98</v>
      </c>
    </row>
    <row r="25" customFormat="false" ht="15" hidden="false" customHeight="false" outlineLevel="0" collapsed="false">
      <c r="A25" s="0" t="s">
        <v>555</v>
      </c>
    </row>
    <row r="26" customFormat="false" ht="15" hidden="false" customHeight="false" outlineLevel="0" collapsed="false">
      <c r="A26" s="0" t="s">
        <v>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5" min="4" style="0" width="13"/>
    <col collapsed="false" customWidth="true" hidden="false" outlineLevel="0" max="6" min="6" style="0" width="20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8" t="s">
        <v>557</v>
      </c>
      <c r="B1" s="8" t="s">
        <v>1</v>
      </c>
      <c r="C1" s="8" t="s">
        <v>6</v>
      </c>
      <c r="D1" s="8" t="s">
        <v>7</v>
      </c>
      <c r="E1" s="8" t="s">
        <v>8</v>
      </c>
      <c r="F1" s="8" t="s">
        <v>10</v>
      </c>
      <c r="G1" s="8" t="s">
        <v>11</v>
      </c>
      <c r="I1" s="0" t="s">
        <v>558</v>
      </c>
    </row>
    <row r="2" customFormat="false" ht="15" hidden="false" customHeight="false" outlineLevel="0" collapsed="false">
      <c r="A2" s="0" t="n">
        <f aca="false">IF(ISNA(MATCH(1,BOM!$O$2:$O$110,0)),"",1)</f>
        <v>1</v>
      </c>
      <c r="B2" s="0" t="str">
        <f aca="false">IF($A2="","",INDEX(BOM!$B$2:$B$110,MATCH(1,BOM!$O$2:$O$110,0)))</f>
        <v>DisplayPort 1.4 cable, 3 m (10 ft), VESA certified</v>
      </c>
      <c r="C2" s="0" t="n">
        <f aca="false">IF($A2="","",INDEX(BOM!$G$2:$G$110,MATCH(1,BOM!$O$2:$O$110,0)))</f>
        <v>1</v>
      </c>
      <c r="D2" s="9" t="n">
        <f aca="false">IF($A2="","",INDEX(BOM!$H$2:$H$110,MATCH(1,BOM!$O$2:$O$110,0)))</f>
        <v>16.99</v>
      </c>
      <c r="E2" s="9" t="n">
        <f aca="false">IF($A2="","",INDEX(BOM!$I$2:$I$110,MATCH(1,BOM!$O$2:$O$110,0)))</f>
        <v>16.99</v>
      </c>
      <c r="F2" s="0" t="str">
        <f aca="false">IF($A2="","",IF(INDEX(BOM!$K$2:$K$110,MATCH(1,BOM!$O$2:$O$110,0))="","",HYPERLINK(INDEX(BOM!$K$2:$K$110,MATCH(1,BOM!$O$2:$O$110,0)),"open on amazon.ca")))</f>
        <v>open on amazon.ca</v>
      </c>
      <c r="G2" s="0" t="str">
        <f aca="false">IF($A2="","",HYPERLINK(INDEX(BOM!$L$2:$L$110,MATCH(1,BOM!$O$2:$O$110,0)),"search"))</f>
        <v>search</v>
      </c>
    </row>
    <row r="3" customFormat="false" ht="15" hidden="false" customHeight="false" outlineLevel="0" collapsed="false">
      <c r="A3" s="0" t="n">
        <f aca="false">IF(ISNA(MATCH(2,BOM!$O$2:$O$110,0)),"",2)</f>
        <v>2</v>
      </c>
      <c r="B3" s="0" t="str">
        <f aca="false">IF($A3="","",INDEX(BOM!$B$2:$B$110,MATCH(2,BOM!$O$2:$O$110,0)))</f>
        <v>HDMI cable, 3 m (10 ft)</v>
      </c>
      <c r="C3" s="0" t="n">
        <f aca="false">IF($A3="","",INDEX(BOM!$G$2:$G$110,MATCH(2,BOM!$O$2:$O$110,0)))</f>
        <v>1</v>
      </c>
      <c r="D3" s="9" t="n">
        <f aca="false">IF($A3="","",INDEX(BOM!$H$2:$H$110,MATCH(2,BOM!$O$2:$O$110,0)))</f>
        <v>10.76</v>
      </c>
      <c r="E3" s="9" t="n">
        <f aca="false">IF($A3="","",INDEX(BOM!$I$2:$I$110,MATCH(2,BOM!$O$2:$O$110,0)))</f>
        <v>10.76</v>
      </c>
      <c r="F3" s="0" t="str">
        <f aca="false">IF($A3="","",IF(INDEX(BOM!$K$2:$K$110,MATCH(2,BOM!$O$2:$O$110,0))="","",HYPERLINK(INDEX(BOM!$K$2:$K$110,MATCH(2,BOM!$O$2:$O$110,0)),"open on amazon.ca")))</f>
        <v>open on amazon.ca</v>
      </c>
      <c r="G3" s="0" t="str">
        <f aca="false">IF($A3="","",HYPERLINK(INDEX(BOM!$L$2:$L$110,MATCH(2,BOM!$O$2:$O$110,0)),"search"))</f>
        <v>search</v>
      </c>
    </row>
    <row r="4" customFormat="false" ht="15" hidden="false" customHeight="false" outlineLevel="0" collapsed="false">
      <c r="A4" s="0" t="n">
        <f aca="false">IF(ISNA(MATCH(3,BOM!$O$2:$O$110,0)),"",3)</f>
        <v>3</v>
      </c>
      <c r="B4" s="0" t="str">
        <f aca="false">IF($A4="","",INDEX(BOM!$B$2:$B$110,MATCH(3,BOM!$O$2:$O$110,0)))</f>
        <v>DisplayPort -&gt; DVI-D adapter cable, passive, 3 m (10 ft)</v>
      </c>
      <c r="C4" s="0" t="n">
        <f aca="false">IF($A4="","",INDEX(BOM!$G$2:$G$110,MATCH(3,BOM!$O$2:$O$110,0)))</f>
        <v>1</v>
      </c>
      <c r="D4" s="9" t="n">
        <f aca="false">IF($A4="","",INDEX(BOM!$H$2:$H$110,MATCH(3,BOM!$O$2:$O$110,0)))</f>
        <v>16.99</v>
      </c>
      <c r="E4" s="9" t="n">
        <f aca="false">IF($A4="","",INDEX(BOM!$I$2:$I$110,MATCH(3,BOM!$O$2:$O$110,0)))</f>
        <v>16.99</v>
      </c>
      <c r="F4" s="0" t="str">
        <f aca="false">IF($A4="","",IF(INDEX(BOM!$K$2:$K$110,MATCH(3,BOM!$O$2:$O$110,0))="","",HYPERLINK(INDEX(BOM!$K$2:$K$110,MATCH(3,BOM!$O$2:$O$110,0)),"open on amazon.ca")))</f>
        <v>open on amazon.ca</v>
      </c>
      <c r="G4" s="0" t="str">
        <f aca="false">IF($A4="","",HYPERLINK(INDEX(BOM!$L$2:$L$110,MATCH(3,BOM!$O$2:$O$110,0)),"search"))</f>
        <v>search</v>
      </c>
    </row>
    <row r="5" customFormat="false" ht="15" hidden="false" customHeight="false" outlineLevel="0" collapsed="false">
      <c r="A5" s="0" t="n">
        <f aca="false">IF(ISNA(MATCH(4,BOM!$O$2:$O$110,0)),"",4)</f>
        <v>4</v>
      </c>
      <c r="B5" s="0" t="str">
        <f aca="false">IF($A5="","",INDEX(BOM!$B$2:$B$110,MATCH(4,BOM!$O$2:$O$110,0)))</f>
        <v>USB-A to USB-B cable, 3 m (10 ft)</v>
      </c>
      <c r="C5" s="0" t="n">
        <f aca="false">IF($A5="","",INDEX(BOM!$G$2:$G$110,MATCH(4,BOM!$O$2:$O$110,0)))</f>
        <v>1</v>
      </c>
      <c r="D5" s="9" t="n">
        <f aca="false">IF($A5="","",INDEX(BOM!$H$2:$H$110,MATCH(4,BOM!$O$2:$O$110,0)))</f>
        <v>12.99</v>
      </c>
      <c r="E5" s="9" t="n">
        <f aca="false">IF($A5="","",INDEX(BOM!$I$2:$I$110,MATCH(4,BOM!$O$2:$O$110,0)))</f>
        <v>12.99</v>
      </c>
      <c r="F5" s="0" t="str">
        <f aca="false">IF($A5="","",IF(INDEX(BOM!$K$2:$K$110,MATCH(4,BOM!$O$2:$O$110,0))="","",HYPERLINK(INDEX(BOM!$K$2:$K$110,MATCH(4,BOM!$O$2:$O$110,0)),"open on amazon.ca")))</f>
        <v>open on amazon.ca</v>
      </c>
      <c r="G5" s="0" t="str">
        <f aca="false">IF($A5="","",HYPERLINK(INDEX(BOM!$L$2:$L$110,MATCH(4,BOM!$O$2:$O$110,0)),"search"))</f>
        <v>search</v>
      </c>
    </row>
    <row r="6" customFormat="false" ht="15" hidden="false" customHeight="false" outlineLevel="0" collapsed="false">
      <c r="A6" s="0" t="n">
        <f aca="false">IF(ISNA(MATCH(5,BOM!$O$2:$O$110,0)),"",5)</f>
        <v>5</v>
      </c>
      <c r="B6" s="0" t="str">
        <f aca="false">IF($A6="","",INDEX(BOM!$B$2:$B$110,MATCH(5,BOM!$O$2:$O$110,0)))</f>
        <v>USB-A to USB-C data cables 1.8 m (6 ft), 3-pack</v>
      </c>
      <c r="C6" s="0" t="n">
        <f aca="false">IF($A6="","",INDEX(BOM!$G$2:$G$110,MATCH(5,BOM!$O$2:$O$110,0)))</f>
        <v>1</v>
      </c>
      <c r="D6" s="9" t="n">
        <f aca="false">IF($A6="","",INDEX(BOM!$H$2:$H$110,MATCH(5,BOM!$O$2:$O$110,0)))</f>
        <v>9.99</v>
      </c>
      <c r="E6" s="9" t="n">
        <f aca="false">IF($A6="","",INDEX(BOM!$I$2:$I$110,MATCH(5,BOM!$O$2:$O$110,0)))</f>
        <v>9.99</v>
      </c>
      <c r="F6" s="0" t="str">
        <f aca="false">IF($A6="","",IF(INDEX(BOM!$K$2:$K$110,MATCH(5,BOM!$O$2:$O$110,0))="","",HYPERLINK(INDEX(BOM!$K$2:$K$110,MATCH(5,BOM!$O$2:$O$110,0)),"open on amazon.ca")))</f>
        <v>open on amazon.ca</v>
      </c>
      <c r="G6" s="0" t="str">
        <f aca="false">IF($A6="","",HYPERLINK(INDEX(BOM!$L$2:$L$110,MATCH(5,BOM!$O$2:$O$110,0)),"search"))</f>
        <v>search</v>
      </c>
    </row>
    <row r="7" customFormat="false" ht="15" hidden="false" customHeight="false" outlineLevel="0" collapsed="false">
      <c r="A7" s="0" t="n">
        <f aca="false">IF(ISNA(MATCH(6,BOM!$O$2:$O$110,0)),"",6)</f>
        <v>6</v>
      </c>
      <c r="B7" s="0" t="str">
        <f aca="false">IF($A7="","",INDEX(BOM!$B$2:$B$110,MATCH(6,BOM!$O$2:$O$110,0)))</f>
        <v>Powered USB 3.0 hub, 7-port, with power adapter</v>
      </c>
      <c r="C7" s="0" t="n">
        <f aca="false">IF($A7="","",INDEX(BOM!$G$2:$G$110,MATCH(6,BOM!$O$2:$O$110,0)))</f>
        <v>1</v>
      </c>
      <c r="D7" s="9" t="n">
        <f aca="false">IF($A7="","",INDEX(BOM!$H$2:$H$110,MATCH(6,BOM!$O$2:$O$110,0)))</f>
        <v>39.99</v>
      </c>
      <c r="E7" s="9" t="n">
        <f aca="false">IF($A7="","",INDEX(BOM!$I$2:$I$110,MATCH(6,BOM!$O$2:$O$110,0)))</f>
        <v>39.99</v>
      </c>
      <c r="F7" s="0" t="str">
        <f aca="false">IF($A7="","",IF(INDEX(BOM!$K$2:$K$110,MATCH(6,BOM!$O$2:$O$110,0))="","",HYPERLINK(INDEX(BOM!$K$2:$K$110,MATCH(6,BOM!$O$2:$O$110,0)),"open on amazon.ca")))</f>
        <v>open on amazon.ca</v>
      </c>
      <c r="G7" s="0" t="str">
        <f aca="false">IF($A7="","",HYPERLINK(INDEX(BOM!$L$2:$L$110,MATCH(6,BOM!$O$2:$O$110,0)),"search"))</f>
        <v>search</v>
      </c>
    </row>
    <row r="8" customFormat="false" ht="15" hidden="false" customHeight="false" outlineLevel="0" collapsed="false">
      <c r="A8" s="0" t="n">
        <f aca="false">IF(ISNA(MATCH(7,BOM!$O$2:$O$110,0)),"",7)</f>
        <v>7</v>
      </c>
      <c r="B8" s="0" t="str">
        <f aca="false">IF($A8="","",INDEX(BOM!$B$2:$B$110,MATCH(7,BOM!$O$2:$O$110,0)))</f>
        <v>Expandable braided sleeve 25 mm (1"), 7.6 m (25 ft)</v>
      </c>
      <c r="C8" s="0" t="n">
        <f aca="false">IF($A8="","",INDEX(BOM!$G$2:$G$110,MATCH(7,BOM!$O$2:$O$110,0)))</f>
        <v>1</v>
      </c>
      <c r="D8" s="9" t="n">
        <f aca="false">IF($A8="","",INDEX(BOM!$H$2:$H$110,MATCH(7,BOM!$O$2:$O$110,0)))</f>
        <v>15.98</v>
      </c>
      <c r="E8" s="9" t="n">
        <f aca="false">IF($A8="","",INDEX(BOM!$I$2:$I$110,MATCH(7,BOM!$O$2:$O$110,0)))</f>
        <v>15.98</v>
      </c>
      <c r="F8" s="0" t="str">
        <f aca="false">IF($A8="","",IF(INDEX(BOM!$K$2:$K$110,MATCH(7,BOM!$O$2:$O$110,0))="","",HYPERLINK(INDEX(BOM!$K$2:$K$110,MATCH(7,BOM!$O$2:$O$110,0)),"open on amazon.ca")))</f>
        <v>open on amazon.ca</v>
      </c>
      <c r="G8" s="0" t="str">
        <f aca="false">IF($A8="","",HYPERLINK(INDEX(BOM!$L$2:$L$110,MATCH(7,BOM!$O$2:$O$110,0)),"search"))</f>
        <v>search</v>
      </c>
    </row>
    <row r="9" customFormat="false" ht="15" hidden="false" customHeight="false" outlineLevel="0" collapsed="false">
      <c r="A9" s="0" t="n">
        <f aca="false">IF(ISNA(MATCH(8,BOM!$O$2:$O$110,0)),"",8)</f>
        <v>8</v>
      </c>
      <c r="B9" s="0" t="str">
        <f aca="false">IF($A9="","",INDEX(BOM!$B$2:$B$110,MATCH(8,BOM!$O$2:$O$110,0)))</f>
        <v>ESP32-S3-DevKitC-1-N8R8, 5-pack</v>
      </c>
      <c r="C9" s="0" t="n">
        <f aca="false">IF($A9="","",INDEX(BOM!$G$2:$G$110,MATCH(8,BOM!$O$2:$O$110,0)))</f>
        <v>1</v>
      </c>
      <c r="D9" s="9" t="n">
        <f aca="false">IF($A9="","",INDEX(BOM!$H$2:$H$110,MATCH(8,BOM!$O$2:$O$110,0)))</f>
        <v>71.98</v>
      </c>
      <c r="E9" s="9" t="n">
        <f aca="false">IF($A9="","",INDEX(BOM!$I$2:$I$110,MATCH(8,BOM!$O$2:$O$110,0)))</f>
        <v>71.98</v>
      </c>
      <c r="F9" s="0" t="str">
        <f aca="false">IF($A9="","",IF(INDEX(BOM!$K$2:$K$110,MATCH(8,BOM!$O$2:$O$110,0))="","",HYPERLINK(INDEX(BOM!$K$2:$K$110,MATCH(8,BOM!$O$2:$O$110,0)),"open on amazon.ca")))</f>
        <v>open on amazon.ca</v>
      </c>
      <c r="G9" s="0" t="str">
        <f aca="false">IF($A9="","",HYPERLINK(INDEX(BOM!$L$2:$L$110,MATCH(8,BOM!$O$2:$O$110,0)),"search"))</f>
        <v>search</v>
      </c>
    </row>
    <row r="10" customFormat="false" ht="15" hidden="false" customHeight="false" outlineLevel="0" collapsed="false">
      <c r="A10" s="0" t="n">
        <f aca="false">IF(ISNA(MATCH(9,BOM!$O$2:$O$110,0)),"",9)</f>
        <v>9</v>
      </c>
      <c r="B10" s="0" t="str">
        <f aca="false">IF($A10="","",INDEX(BOM!$B$2:$B$110,MATCH(9,BOM!$O$2:$O$110,0)))</f>
        <v>74HC165 shift register DIP-16, 25 pcs</v>
      </c>
      <c r="C10" s="0" t="n">
        <f aca="false">IF($A10="","",INDEX(BOM!$G$2:$G$110,MATCH(9,BOM!$O$2:$O$110,0)))</f>
        <v>1</v>
      </c>
      <c r="D10" s="9" t="n">
        <f aca="false">IF($A10="","",INDEX(BOM!$H$2:$H$110,MATCH(9,BOM!$O$2:$O$110,0)))</f>
        <v>18.49</v>
      </c>
      <c r="E10" s="9" t="n">
        <f aca="false">IF($A10="","",INDEX(BOM!$I$2:$I$110,MATCH(9,BOM!$O$2:$O$110,0)))</f>
        <v>18.49</v>
      </c>
      <c r="F10" s="0" t="str">
        <f aca="false">IF($A10="","",IF(INDEX(BOM!$K$2:$K$110,MATCH(9,BOM!$O$2:$O$110,0))="","",HYPERLINK(INDEX(BOM!$K$2:$K$110,MATCH(9,BOM!$O$2:$O$110,0)),"open on amazon.ca")))</f>
        <v>open on amazon.ca</v>
      </c>
      <c r="G10" s="0" t="str">
        <f aca="false">IF($A10="","",HYPERLINK(INDEX(BOM!$L$2:$L$110,MATCH(9,BOM!$O$2:$O$110,0)),"search"))</f>
        <v>search</v>
      </c>
    </row>
    <row r="11" customFormat="false" ht="15" hidden="false" customHeight="false" outlineLevel="0" collapsed="false">
      <c r="A11" s="0" t="n">
        <f aca="false">IF(ISNA(MATCH(10,BOM!$O$2:$O$110,0)),"",10)</f>
        <v>10</v>
      </c>
      <c r="B11" s="0" t="str">
        <f aca="false">IF($A11="","",INDEX(BOM!$B$2:$B$110,MATCH(10,BOM!$O$2:$O$110,0)))</f>
        <v>DIP IC socket assortment (incl. 14- and 16-pin)</v>
      </c>
      <c r="C11" s="0" t="n">
        <f aca="false">IF($A11="","",INDEX(BOM!$G$2:$G$110,MATCH(10,BOM!$O$2:$O$110,0)))</f>
        <v>1</v>
      </c>
      <c r="D11" s="9" t="n">
        <f aca="false">IF($A11="","",INDEX(BOM!$H$2:$H$110,MATCH(10,BOM!$O$2:$O$110,0)))</f>
        <v>16.99</v>
      </c>
      <c r="E11" s="9" t="n">
        <f aca="false">IF($A11="","",INDEX(BOM!$I$2:$I$110,MATCH(10,BOM!$O$2:$O$110,0)))</f>
        <v>16.99</v>
      </c>
      <c r="F11" s="0" t="str">
        <f aca="false">IF($A11="","",IF(INDEX(BOM!$K$2:$K$110,MATCH(10,BOM!$O$2:$O$110,0))="","",HYPERLINK(INDEX(BOM!$K$2:$K$110,MATCH(10,BOM!$O$2:$O$110,0)),"open on amazon.ca")))</f>
        <v>open on amazon.ca</v>
      </c>
      <c r="G11" s="0" t="str">
        <f aca="false">IF($A11="","",HYPERLINK(INDEX(BOM!$L$2:$L$110,MATCH(10,BOM!$O$2:$O$110,0)),"search"))</f>
        <v>search</v>
      </c>
    </row>
    <row r="12" customFormat="false" ht="15" hidden="false" customHeight="false" outlineLevel="0" collapsed="false">
      <c r="A12" s="0" t="n">
        <f aca="false">IF(ISNA(MATCH(11,BOM!$O$2:$O$110,0)),"",11)</f>
        <v>11</v>
      </c>
      <c r="B12" s="0" t="str">
        <f aca="false">IF($A12="","",INDEX(BOM!$B$2:$B$110,MATCH(11,BOM!$O$2:$O$110,0)))</f>
        <v>10 kOhm bussed resistor network SIP-9 (A103J), 20 pcs</v>
      </c>
      <c r="C12" s="0" t="n">
        <f aca="false">IF($A12="","",INDEX(BOM!$G$2:$G$110,MATCH(11,BOM!$O$2:$O$110,0)))</f>
        <v>1</v>
      </c>
      <c r="D12" s="9" t="n">
        <f aca="false">IF($A12="","",INDEX(BOM!$H$2:$H$110,MATCH(11,BOM!$O$2:$O$110,0)))</f>
        <v>8.88</v>
      </c>
      <c r="E12" s="9" t="n">
        <f aca="false">IF($A12="","",INDEX(BOM!$I$2:$I$110,MATCH(11,BOM!$O$2:$O$110,0)))</f>
        <v>8.88</v>
      </c>
      <c r="F12" s="0" t="str">
        <f aca="false">IF($A12="","",IF(INDEX(BOM!$K$2:$K$110,MATCH(11,BOM!$O$2:$O$110,0))="","",HYPERLINK(INDEX(BOM!$K$2:$K$110,MATCH(11,BOM!$O$2:$O$110,0)),"open on amazon.ca")))</f>
        <v>open on amazon.ca</v>
      </c>
      <c r="G12" s="0" t="str">
        <f aca="false">IF($A12="","",HYPERLINK(INDEX(BOM!$L$2:$L$110,MATCH(11,BOM!$O$2:$O$110,0)),"search"))</f>
        <v>search</v>
      </c>
    </row>
    <row r="13" customFormat="false" ht="15" hidden="false" customHeight="false" outlineLevel="0" collapsed="false">
      <c r="A13" s="0" t="n">
        <f aca="false">IF(ISNA(MATCH(12,BOM!$O$2:$O$110,0)),"",12)</f>
        <v>12</v>
      </c>
      <c r="B13" s="0" t="str">
        <f aca="false">IF($A13="","",INDEX(BOM!$B$2:$B$110,MATCH(12,BOM!$O$2:$O$110,0)))</f>
        <v>100 nF ceramic capacitors, 100 pcs</v>
      </c>
      <c r="C13" s="0" t="n">
        <f aca="false">IF($A13="","",INDEX(BOM!$G$2:$G$110,MATCH(12,BOM!$O$2:$O$110,0)))</f>
        <v>1</v>
      </c>
      <c r="D13" s="9" t="n">
        <f aca="false">IF($A13="","",INDEX(BOM!$H$2:$H$110,MATCH(12,BOM!$O$2:$O$110,0)))</f>
        <v>6.55</v>
      </c>
      <c r="E13" s="9" t="n">
        <f aca="false">IF($A13="","",INDEX(BOM!$I$2:$I$110,MATCH(12,BOM!$O$2:$O$110,0)))</f>
        <v>6.55</v>
      </c>
      <c r="F13" s="0" t="str">
        <f aca="false">IF($A13="","",IF(INDEX(BOM!$K$2:$K$110,MATCH(12,BOM!$O$2:$O$110,0))="","",HYPERLINK(INDEX(BOM!$K$2:$K$110,MATCH(12,BOM!$O$2:$O$110,0)),"open on amazon.ca")))</f>
        <v>open on amazon.ca</v>
      </c>
      <c r="G13" s="0" t="str">
        <f aca="false">IF($A13="","",HYPERLINK(INDEX(BOM!$L$2:$L$110,MATCH(12,BOM!$O$2:$O$110,0)),"search"))</f>
        <v>search</v>
      </c>
    </row>
    <row r="14" customFormat="false" ht="15" hidden="false" customHeight="false" outlineLevel="0" collapsed="false">
      <c r="A14" s="0" t="n">
        <f aca="false">IF(ISNA(MATCH(13,BOM!$O$2:$O$110,0)),"",13)</f>
        <v>13</v>
      </c>
      <c r="B14" s="0" t="str">
        <f aca="false">IF($A14="","",INDEX(BOM!$B$2:$B$110,MATCH(13,BOM!$O$2:$O$110,0)))</f>
        <v>Electrolytic capacitor assortment 0.1-1000 uF (10-50 V)</v>
      </c>
      <c r="C14" s="0" t="n">
        <f aca="false">IF($A14="","",INDEX(BOM!$G$2:$G$110,MATCH(13,BOM!$O$2:$O$110,0)))</f>
        <v>1</v>
      </c>
      <c r="D14" s="9" t="n">
        <f aca="false">IF($A14="","",INDEX(BOM!$H$2:$H$110,MATCH(13,BOM!$O$2:$O$110,0)))</f>
        <v>16.99</v>
      </c>
      <c r="E14" s="9" t="n">
        <f aca="false">IF($A14="","",INDEX(BOM!$I$2:$I$110,MATCH(13,BOM!$O$2:$O$110,0)))</f>
        <v>16.99</v>
      </c>
      <c r="F14" s="0" t="str">
        <f aca="false">IF($A14="","",IF(INDEX(BOM!$K$2:$K$110,MATCH(13,BOM!$O$2:$O$110,0))="","",HYPERLINK(INDEX(BOM!$K$2:$K$110,MATCH(13,BOM!$O$2:$O$110,0)),"open on amazon.ca")))</f>
        <v>open on amazon.ca</v>
      </c>
      <c r="G14" s="0" t="str">
        <f aca="false">IF($A14="","",HYPERLINK(INDEX(BOM!$L$2:$L$110,MATCH(13,BOM!$O$2:$O$110,0)),"search"))</f>
        <v>search</v>
      </c>
    </row>
    <row r="15" customFormat="false" ht="15" hidden="false" customHeight="false" outlineLevel="0" collapsed="false">
      <c r="A15" s="0" t="n">
        <f aca="false">IF(ISNA(MATCH(14,BOM!$O$2:$O$110,0)),"",14)</f>
        <v>14</v>
      </c>
      <c r="B15" s="0" t="str">
        <f aca="false">IF($A15="","",INDEX(BOM!$B$2:$B$110,MATCH(14,BOM!$O$2:$O$110,0)))</f>
        <v>74AHCT125N DIP-14 level shifter, 10 pcs</v>
      </c>
      <c r="C15" s="0" t="n">
        <f aca="false">IF($A15="","",INDEX(BOM!$G$2:$G$110,MATCH(14,BOM!$O$2:$O$110,0)))</f>
        <v>1</v>
      </c>
      <c r="D15" s="9" t="n">
        <f aca="false">IF($A15="","",INDEX(BOM!$H$2:$H$110,MATCH(14,BOM!$O$2:$O$110,0)))</f>
        <v>11.56</v>
      </c>
      <c r="E15" s="9" t="n">
        <f aca="false">IF($A15="","",INDEX(BOM!$I$2:$I$110,MATCH(14,BOM!$O$2:$O$110,0)))</f>
        <v>11.56</v>
      </c>
      <c r="F15" s="0" t="str">
        <f aca="false">IF($A15="","",IF(INDEX(BOM!$K$2:$K$110,MATCH(14,BOM!$O$2:$O$110,0))="","",HYPERLINK(INDEX(BOM!$K$2:$K$110,MATCH(14,BOM!$O$2:$O$110,0)),"open on amazon.ca")))</f>
        <v>open on amazon.ca</v>
      </c>
      <c r="G15" s="0" t="str">
        <f aca="false">IF($A15="","",HYPERLINK(INDEX(BOM!$L$2:$L$110,MATCH(14,BOM!$O$2:$O$110,0)),"search"))</f>
        <v>search</v>
      </c>
    </row>
    <row r="16" customFormat="false" ht="15" hidden="false" customHeight="false" outlineLevel="0" collapsed="false">
      <c r="A16" s="0" t="n">
        <f aca="false">IF(ISNA(MATCH(15,BOM!$O$2:$O$110,0)),"",15)</f>
        <v>15</v>
      </c>
      <c r="B16" s="0" t="str">
        <f aca="false">IF($A16="","",INDEX(BOM!$B$2:$B$110,MATCH(15,BOM!$O$2:$O$110,0)))</f>
        <v>Resistor kit 1/4 W 1%, 50 values</v>
      </c>
      <c r="C16" s="0" t="n">
        <f aca="false">IF($A16="","",INDEX(BOM!$G$2:$G$110,MATCH(15,BOM!$O$2:$O$110,0)))</f>
        <v>1</v>
      </c>
      <c r="D16" s="9" t="n">
        <f aca="false">IF($A16="","",INDEX(BOM!$H$2:$H$110,MATCH(15,BOM!$O$2:$O$110,0)))</f>
        <v>19.99</v>
      </c>
      <c r="E16" s="9" t="n">
        <f aca="false">IF($A16="","",INDEX(BOM!$I$2:$I$110,MATCH(15,BOM!$O$2:$O$110,0)))</f>
        <v>19.99</v>
      </c>
      <c r="F16" s="0" t="str">
        <f aca="false">IF($A16="","",IF(INDEX(BOM!$K$2:$K$110,MATCH(15,BOM!$O$2:$O$110,0))="","",HYPERLINK(INDEX(BOM!$K$2:$K$110,MATCH(15,BOM!$O$2:$O$110,0)),"open on amazon.ca")))</f>
        <v>open on amazon.ca</v>
      </c>
      <c r="G16" s="0" t="str">
        <f aca="false">IF($A16="","",HYPERLINK(INDEX(BOM!$L$2:$L$110,MATCH(15,BOM!$O$2:$O$110,0)),"search"))</f>
        <v>search</v>
      </c>
    </row>
    <row r="17" customFormat="false" ht="15" hidden="false" customHeight="false" outlineLevel="0" collapsed="false">
      <c r="A17" s="0" t="n">
        <f aca="false">IF(ISNA(MATCH(16,BOM!$O$2:$O$110,0)),"",16)</f>
        <v>16</v>
      </c>
      <c r="B17" s="0" t="str">
        <f aca="false">IF($A17="","",INDEX(BOM!$B$2:$B$110,MATCH(16,BOM!$O$2:$O$110,0)))</f>
        <v>2.2 kOhm 1/2 W resistors, 10 pcs</v>
      </c>
      <c r="C17" s="0" t="n">
        <f aca="false">IF($A17="","",INDEX(BOM!$G$2:$G$110,MATCH(16,BOM!$O$2:$O$110,0)))</f>
        <v>1</v>
      </c>
      <c r="D17" s="9" t="n">
        <f aca="false">IF($A17="","",INDEX(BOM!$H$2:$H$110,MATCH(16,BOM!$O$2:$O$110,0)))</f>
        <v>8.76</v>
      </c>
      <c r="E17" s="9" t="n">
        <f aca="false">IF($A17="","",INDEX(BOM!$I$2:$I$110,MATCH(16,BOM!$O$2:$O$110,0)))</f>
        <v>8.76</v>
      </c>
      <c r="F17" s="0" t="str">
        <f aca="false">IF($A17="","",IF(INDEX(BOM!$K$2:$K$110,MATCH(16,BOM!$O$2:$O$110,0))="","",HYPERLINK(INDEX(BOM!$K$2:$K$110,MATCH(16,BOM!$O$2:$O$110,0)),"open on amazon.ca")))</f>
        <v>open on amazon.ca</v>
      </c>
      <c r="G17" s="0" t="str">
        <f aca="false">IF($A17="","",HYPERLINK(INDEX(BOM!$L$2:$L$110,MATCH(16,BOM!$O$2:$O$110,0)),"search"))</f>
        <v>search</v>
      </c>
    </row>
    <row r="18" customFormat="false" ht="15" hidden="false" customHeight="false" outlineLevel="0" collapsed="false">
      <c r="A18" s="0" t="n">
        <f aca="false">IF(ISNA(MATCH(17,BOM!$O$2:$O$110,0)),"",17)</f>
        <v>17</v>
      </c>
      <c r="B18" s="0" t="str">
        <f aca="false">IF($A18="","",INDEX(BOM!$B$2:$B$110,MATCH(17,BOM!$O$2:$O$110,0)))</f>
        <v>PC817 optocoupler DIP-4, 20 pcs</v>
      </c>
      <c r="C18" s="0" t="n">
        <f aca="false">IF($A18="","",INDEX(BOM!$G$2:$G$110,MATCH(17,BOM!$O$2:$O$110,0)))</f>
        <v>1</v>
      </c>
      <c r="D18" s="9" t="n">
        <f aca="false">IF($A18="","",INDEX(BOM!$H$2:$H$110,MATCH(17,BOM!$O$2:$O$110,0)))</f>
        <v>10.68</v>
      </c>
      <c r="E18" s="9" t="n">
        <f aca="false">IF($A18="","",INDEX(BOM!$I$2:$I$110,MATCH(17,BOM!$O$2:$O$110,0)))</f>
        <v>10.68</v>
      </c>
      <c r="F18" s="0" t="str">
        <f aca="false">IF($A18="","",IF(INDEX(BOM!$K$2:$K$110,MATCH(17,BOM!$O$2:$O$110,0))="","",HYPERLINK(INDEX(BOM!$K$2:$K$110,MATCH(17,BOM!$O$2:$O$110,0)),"open on amazon.ca")))</f>
        <v>open on amazon.ca</v>
      </c>
      <c r="G18" s="0" t="str">
        <f aca="false">IF($A18="","",HYPERLINK(INDEX(BOM!$L$2:$L$110,MATCH(17,BOM!$O$2:$O$110,0)),"search"))</f>
        <v>search</v>
      </c>
    </row>
    <row r="19" customFormat="false" ht="15" hidden="false" customHeight="false" outlineLevel="0" collapsed="false">
      <c r="A19" s="0" t="n">
        <f aca="false">IF(ISNA(MATCH(18,BOM!$O$2:$O$110,0)),"",18)</f>
        <v>18</v>
      </c>
      <c r="B19" s="0" t="str">
        <f aca="false">IF($A19="","",INDEX(BOM!$B$2:$B$110,MATCH(18,BOM!$O$2:$O$110,0)))</f>
        <v>Perfboard 7 x 9 cm, 10 pcs</v>
      </c>
      <c r="C19" s="0" t="n">
        <f aca="false">IF($A19="","",INDEX(BOM!$G$2:$G$110,MATCH(18,BOM!$O$2:$O$110,0)))</f>
        <v>1</v>
      </c>
      <c r="D19" s="9" t="n">
        <f aca="false">IF($A19="","",INDEX(BOM!$H$2:$H$110,MATCH(18,BOM!$O$2:$O$110,0)))</f>
        <v>12.96</v>
      </c>
      <c r="E19" s="9" t="n">
        <f aca="false">IF($A19="","",INDEX(BOM!$I$2:$I$110,MATCH(18,BOM!$O$2:$O$110,0)))</f>
        <v>12.96</v>
      </c>
      <c r="F19" s="0" t="str">
        <f aca="false">IF($A19="","",IF(INDEX(BOM!$K$2:$K$110,MATCH(18,BOM!$O$2:$O$110,0))="","",HYPERLINK(INDEX(BOM!$K$2:$K$110,MATCH(18,BOM!$O$2:$O$110,0)),"open on amazon.ca")))</f>
        <v>open on amazon.ca</v>
      </c>
      <c r="G19" s="0" t="str">
        <f aca="false">IF($A19="","",HYPERLINK(INDEX(BOM!$L$2:$L$110,MATCH(18,BOM!$O$2:$O$110,0)),"search"))</f>
        <v>search</v>
      </c>
    </row>
    <row r="20" customFormat="false" ht="15" hidden="false" customHeight="false" outlineLevel="0" collapsed="false">
      <c r="A20" s="0" t="n">
        <f aca="false">IF(ISNA(MATCH(19,BOM!$O$2:$O$110,0)),"",19)</f>
        <v>19</v>
      </c>
      <c r="B20" s="0" t="str">
        <f aca="false">IF($A20="","",INDEX(BOM!$B$2:$B$110,MATCH(19,BOM!$O$2:$O$110,0)))</f>
        <v>2.54 mm male + female pin header kit</v>
      </c>
      <c r="C20" s="0" t="n">
        <f aca="false">IF($A20="","",INDEX(BOM!$G$2:$G$110,MATCH(19,BOM!$O$2:$O$110,0)))</f>
        <v>1</v>
      </c>
      <c r="D20" s="9" t="n">
        <f aca="false">IF($A20="","",INDEX(BOM!$H$2:$H$110,MATCH(19,BOM!$O$2:$O$110,0)))</f>
        <v>18.99</v>
      </c>
      <c r="E20" s="9" t="n">
        <f aca="false">IF($A20="","",INDEX(BOM!$I$2:$I$110,MATCH(19,BOM!$O$2:$O$110,0)))</f>
        <v>18.99</v>
      </c>
      <c r="F20" s="0" t="str">
        <f aca="false">IF($A20="","",IF(INDEX(BOM!$K$2:$K$110,MATCH(19,BOM!$O$2:$O$110,0))="","",HYPERLINK(INDEX(BOM!$K$2:$K$110,MATCH(19,BOM!$O$2:$O$110,0)),"open on amazon.ca")))</f>
        <v>open on amazon.ca</v>
      </c>
      <c r="G20" s="0" t="str">
        <f aca="false">IF($A20="","",HYPERLINK(INDEX(BOM!$L$2:$L$110,MATCH(19,BOM!$O$2:$O$110,0)),"search"))</f>
        <v>search</v>
      </c>
    </row>
    <row r="21" customFormat="false" ht="15" hidden="false" customHeight="false" outlineLevel="0" collapsed="false">
      <c r="A21" s="0" t="n">
        <f aca="false">IF(ISNA(MATCH(20,BOM!$O$2:$O$110,0)),"",20)</f>
        <v>20</v>
      </c>
      <c r="B21" s="0" t="str">
        <f aca="false">IF($A21="","",INDEX(BOM!$B$2:$B$110,MATCH(20,BOM!$O$2:$O$110,0)))</f>
        <v>JST-XH 2.54 mm connector kit with pre-crimped leads</v>
      </c>
      <c r="C21" s="0" t="n">
        <f aca="false">IF($A21="","",INDEX(BOM!$G$2:$G$110,MATCH(20,BOM!$O$2:$O$110,0)))</f>
        <v>1</v>
      </c>
      <c r="D21" s="9" t="n">
        <f aca="false">IF($A21="","",INDEX(BOM!$H$2:$H$110,MATCH(20,BOM!$O$2:$O$110,0)))</f>
        <v>20.99</v>
      </c>
      <c r="E21" s="9" t="n">
        <f aca="false">IF($A21="","",INDEX(BOM!$I$2:$I$110,MATCH(20,BOM!$O$2:$O$110,0)))</f>
        <v>20.99</v>
      </c>
      <c r="F21" s="0" t="str">
        <f aca="false">IF($A21="","",IF(INDEX(BOM!$K$2:$K$110,MATCH(20,BOM!$O$2:$O$110,0))="","",HYPERLINK(INDEX(BOM!$K$2:$K$110,MATCH(20,BOM!$O$2:$O$110,0)),"open on amazon.ca")))</f>
        <v>open on amazon.ca</v>
      </c>
      <c r="G21" s="0" t="str">
        <f aca="false">IF($A21="","",HYPERLINK(INDEX(BOM!$L$2:$L$110,MATCH(20,BOM!$O$2:$O$110,0)),"search"))</f>
        <v>search</v>
      </c>
    </row>
    <row r="22" customFormat="false" ht="15" hidden="false" customHeight="false" outlineLevel="0" collapsed="false">
      <c r="A22" s="0" t="n">
        <f aca="false">IF(ISNA(MATCH(21,BOM!$O$2:$O$110,0)),"",21)</f>
        <v>21</v>
      </c>
      <c r="B22" s="0" t="str">
        <f aca="false">IF($A22="","",INDEX(BOM!$B$2:$B$110,MATCH(21,BOM!$O$2:$O$110,0)))</f>
        <v>Dupont jumper wires, 120 pcs</v>
      </c>
      <c r="C22" s="0" t="n">
        <f aca="false">IF($A22="","",INDEX(BOM!$G$2:$G$110,MATCH(21,BOM!$O$2:$O$110,0)))</f>
        <v>1</v>
      </c>
      <c r="D22" s="9" t="n">
        <f aca="false">IF($A22="","",INDEX(BOM!$H$2:$H$110,MATCH(21,BOM!$O$2:$O$110,0)))</f>
        <v>12.99</v>
      </c>
      <c r="E22" s="9" t="n">
        <f aca="false">IF($A22="","",INDEX(BOM!$I$2:$I$110,MATCH(21,BOM!$O$2:$O$110,0)))</f>
        <v>12.99</v>
      </c>
      <c r="F22" s="0" t="str">
        <f aca="false">IF($A22="","",IF(INDEX(BOM!$K$2:$K$110,MATCH(21,BOM!$O$2:$O$110,0))="","",HYPERLINK(INDEX(BOM!$K$2:$K$110,MATCH(21,BOM!$O$2:$O$110,0)),"open on amazon.ca")))</f>
        <v>open on amazon.ca</v>
      </c>
      <c r="G22" s="0" t="str">
        <f aca="false">IF($A22="","",HYPERLINK(INDEX(BOM!$L$2:$L$110,MATCH(21,BOM!$O$2:$O$110,0)),"search"))</f>
        <v>search</v>
      </c>
    </row>
    <row r="23" customFormat="false" ht="15" hidden="false" customHeight="false" outlineLevel="0" collapsed="false">
      <c r="A23" s="0" t="n">
        <f aca="false">IF(ISNA(MATCH(22,BOM!$O$2:$O$110,0)),"",22)</f>
        <v>22</v>
      </c>
      <c r="B23" s="0" t="str">
        <f aca="false">IF($A23="","",INDEX(BOM!$B$2:$B$110,MATCH(22,BOM!$O$2:$O$110,0)))</f>
        <v>Cat6 patch cable 7.6 m (25 ft)</v>
      </c>
      <c r="C23" s="0" t="n">
        <f aca="false">IF($A23="","",INDEX(BOM!$G$2:$G$110,MATCH(22,BOM!$O$2:$O$110,0)))</f>
        <v>1</v>
      </c>
      <c r="D23" s="9" t="n">
        <f aca="false">IF($A23="","",INDEX(BOM!$H$2:$H$110,MATCH(22,BOM!$O$2:$O$110,0)))</f>
        <v>17.99</v>
      </c>
      <c r="E23" s="9" t="n">
        <f aca="false">IF($A23="","",INDEX(BOM!$I$2:$I$110,MATCH(22,BOM!$O$2:$O$110,0)))</f>
        <v>17.99</v>
      </c>
      <c r="F23" s="0" t="str">
        <f aca="false">IF($A23="","",IF(INDEX(BOM!$K$2:$K$110,MATCH(22,BOM!$O$2:$O$110,0))="","",HYPERLINK(INDEX(BOM!$K$2:$K$110,MATCH(22,BOM!$O$2:$O$110,0)),"open on amazon.ca")))</f>
        <v>open on amazon.ca</v>
      </c>
      <c r="G23" s="0" t="str">
        <f aca="false">IF($A23="","",HYPERLINK(INDEX(BOM!$L$2:$L$110,MATCH(22,BOM!$O$2:$O$110,0)),"search"))</f>
        <v>search</v>
      </c>
    </row>
    <row r="24" customFormat="false" ht="15" hidden="false" customHeight="false" outlineLevel="0" collapsed="false">
      <c r="A24" s="0" t="n">
        <f aca="false">IF(ISNA(MATCH(23,BOM!$O$2:$O$110,0)),"",23)</f>
        <v>23</v>
      </c>
      <c r="B24" s="0" t="str">
        <f aca="false">IF($A24="","",INDEX(BOM!$B$2:$B$110,MATCH(23,BOM!$O$2:$O$110,0)))</f>
        <v>22 AWG stranded hookup wire kit (6 colours)</v>
      </c>
      <c r="C24" s="0" t="n">
        <f aca="false">IF($A24="","",INDEX(BOM!$G$2:$G$110,MATCH(23,BOM!$O$2:$O$110,0)))</f>
        <v>1</v>
      </c>
      <c r="D24" s="9" t="n">
        <f aca="false">IF($A24="","",INDEX(BOM!$H$2:$H$110,MATCH(23,BOM!$O$2:$O$110,0)))</f>
        <v>20.49</v>
      </c>
      <c r="E24" s="9" t="n">
        <f aca="false">IF($A24="","",INDEX(BOM!$I$2:$I$110,MATCH(23,BOM!$O$2:$O$110,0)))</f>
        <v>20.49</v>
      </c>
      <c r="F24" s="0" t="str">
        <f aca="false">IF($A24="","",IF(INDEX(BOM!$K$2:$K$110,MATCH(23,BOM!$O$2:$O$110,0))="","",HYPERLINK(INDEX(BOM!$K$2:$K$110,MATCH(23,BOM!$O$2:$O$110,0)),"open on amazon.ca")))</f>
        <v>open on amazon.ca</v>
      </c>
      <c r="G24" s="0" t="str">
        <f aca="false">IF($A24="","",HYPERLINK(INDEX(BOM!$L$2:$L$110,MATCH(23,BOM!$O$2:$O$110,0)),"search"))</f>
        <v>search</v>
      </c>
    </row>
    <row r="25" customFormat="false" ht="15" hidden="false" customHeight="false" outlineLevel="0" collapsed="false">
      <c r="A25" s="0" t="n">
        <f aca="false">IF(ISNA(MATCH(24,BOM!$O$2:$O$110,0)),"",24)</f>
        <v>24</v>
      </c>
      <c r="B25" s="0" t="str">
        <f aca="false">IF($A25="","",INDEX(BOM!$B$2:$B$110,MATCH(24,BOM!$O$2:$O$110,0)))</f>
        <v>Mini toggle switch MTS-102, 6 mm (1/4") bushing, 10 pcs</v>
      </c>
      <c r="C25" s="0" t="n">
        <f aca="false">IF($A25="","",INDEX(BOM!$G$2:$G$110,MATCH(24,BOM!$O$2:$O$110,0)))</f>
        <v>3</v>
      </c>
      <c r="D25" s="9" t="n">
        <f aca="false">IF($A25="","",INDEX(BOM!$H$2:$H$110,MATCH(24,BOM!$O$2:$O$110,0)))</f>
        <v>8.45</v>
      </c>
      <c r="E25" s="9" t="n">
        <f aca="false">IF($A25="","",INDEX(BOM!$I$2:$I$110,MATCH(24,BOM!$O$2:$O$110,0)))</f>
        <v>25.35</v>
      </c>
      <c r="F25" s="0" t="str">
        <f aca="false">IF($A25="","",IF(INDEX(BOM!$K$2:$K$110,MATCH(24,BOM!$O$2:$O$110,0))="","",HYPERLINK(INDEX(BOM!$K$2:$K$110,MATCH(24,BOM!$O$2:$O$110,0)),"open on amazon.ca")))</f>
        <v>open on amazon.ca</v>
      </c>
      <c r="G25" s="0" t="str">
        <f aca="false">IF($A25="","",HYPERLINK(INDEX(BOM!$L$2:$L$110,MATCH(24,BOM!$O$2:$O$110,0)),"search"))</f>
        <v>search</v>
      </c>
    </row>
    <row r="26" customFormat="false" ht="15" hidden="false" customHeight="false" outlineLevel="0" collapsed="false">
      <c r="A26" s="0" t="n">
        <f aca="false">IF(ISNA(MATCH(25,BOM!$O$2:$O$110,0)),"",25)</f>
        <v>25</v>
      </c>
      <c r="B26" s="0" t="str">
        <f aca="false">IF($A26="","",INDEX(BOM!$B$2:$B$110,MATCH(25,BOM!$O$2:$O$110,0)))</f>
        <v>Mini toggle MTS-103 ON-OFF-ON, 6 mm bushing, 10 pcs</v>
      </c>
      <c r="C26" s="0" t="n">
        <f aca="false">IF($A26="","",INDEX(BOM!$G$2:$G$110,MATCH(25,BOM!$O$2:$O$110,0)))</f>
        <v>1</v>
      </c>
      <c r="D26" s="9" t="n">
        <f aca="false">IF($A26="","",INDEX(BOM!$H$2:$H$110,MATCH(25,BOM!$O$2:$O$110,0)))</f>
        <v>12.99</v>
      </c>
      <c r="E26" s="9" t="n">
        <f aca="false">IF($A26="","",INDEX(BOM!$I$2:$I$110,MATCH(25,BOM!$O$2:$O$110,0)))</f>
        <v>12.99</v>
      </c>
      <c r="F26" s="0" t="str">
        <f aca="false">IF($A26="","",IF(INDEX(BOM!$K$2:$K$110,MATCH(25,BOM!$O$2:$O$110,0))="","",HYPERLINK(INDEX(BOM!$K$2:$K$110,MATCH(25,BOM!$O$2:$O$110,0)),"open on amazon.ca")))</f>
        <v>open on amazon.ca</v>
      </c>
      <c r="G26" s="0" t="str">
        <f aca="false">IF($A26="","",HYPERLINK(INDEX(BOM!$L$2:$L$110,MATCH(25,BOM!$O$2:$O$110,0)),"search"))</f>
        <v>search</v>
      </c>
    </row>
    <row r="27" customFormat="false" ht="15" hidden="false" customHeight="false" outlineLevel="0" collapsed="false">
      <c r="A27" s="0" t="n">
        <f aca="false">IF(ISNA(MATCH(26,BOM!$O$2:$O$110,0)),"",26)</f>
        <v>26</v>
      </c>
      <c r="B27" s="0" t="str">
        <f aca="false">IF($A27="","",INDEX(BOM!$B$2:$B$110,MATCH(26,BOM!$O$2:$O$110,0)))</f>
        <v>22 mm momentary push buttons (LA38, 5 colours), 6 pcs</v>
      </c>
      <c r="C27" s="0" t="n">
        <f aca="false">IF($A27="","",INDEX(BOM!$G$2:$G$110,MATCH(26,BOM!$O$2:$O$110,0)))</f>
        <v>2</v>
      </c>
      <c r="D27" s="9" t="n">
        <f aca="false">IF($A27="","",INDEX(BOM!$H$2:$H$110,MATCH(26,BOM!$O$2:$O$110,0)))</f>
        <v>19.49</v>
      </c>
      <c r="E27" s="9" t="n">
        <f aca="false">IF($A27="","",INDEX(BOM!$I$2:$I$110,MATCH(26,BOM!$O$2:$O$110,0)))</f>
        <v>38.98</v>
      </c>
      <c r="F27" s="0" t="str">
        <f aca="false">IF($A27="","",IF(INDEX(BOM!$K$2:$K$110,MATCH(26,BOM!$O$2:$O$110,0))="","",HYPERLINK(INDEX(BOM!$K$2:$K$110,MATCH(26,BOM!$O$2:$O$110,0)),"open on amazon.ca")))</f>
        <v>open on amazon.ca</v>
      </c>
      <c r="G27" s="0" t="str">
        <f aca="false">IF($A27="","",HYPERLINK(INDEX(BOM!$L$2:$L$110,MATCH(26,BOM!$O$2:$O$110,0)),"search"))</f>
        <v>search</v>
      </c>
    </row>
    <row r="28" customFormat="false" ht="15" hidden="false" customHeight="false" outlineLevel="0" collapsed="false">
      <c r="A28" s="0" t="n">
        <f aca="false">IF(ISNA(MATCH(27,BOM!$O$2:$O$110,0)),"",27)</f>
        <v>27</v>
      </c>
      <c r="B28" s="0" t="str">
        <f aca="false">IF($A28="","",INDEX(BOM!$B$2:$B$110,MATCH(27,BOM!$O$2:$O$110,0)))</f>
        <v>19 mm momentary metal push buttons, 2 pcs</v>
      </c>
      <c r="C28" s="0" t="n">
        <f aca="false">IF($A28="","",INDEX(BOM!$G$2:$G$110,MATCH(27,BOM!$O$2:$O$110,0)))</f>
        <v>2</v>
      </c>
      <c r="D28" s="9" t="n">
        <f aca="false">IF($A28="","",INDEX(BOM!$H$2:$H$110,MATCH(27,BOM!$O$2:$O$110,0)))</f>
        <v>15.39</v>
      </c>
      <c r="E28" s="9" t="n">
        <f aca="false">IF($A28="","",INDEX(BOM!$I$2:$I$110,MATCH(27,BOM!$O$2:$O$110,0)))</f>
        <v>30.78</v>
      </c>
      <c r="F28" s="0" t="str">
        <f aca="false">IF($A28="","",IF(INDEX(BOM!$K$2:$K$110,MATCH(27,BOM!$O$2:$O$110,0))="","",HYPERLINK(INDEX(BOM!$K$2:$K$110,MATCH(27,BOM!$O$2:$O$110,0)),"open on amazon.ca")))</f>
        <v>open on amazon.ca</v>
      </c>
      <c r="G28" s="0" t="str">
        <f aca="false">IF($A28="","",HYPERLINK(INDEX(BOM!$L$2:$L$110,MATCH(27,BOM!$O$2:$O$110,0)),"search"))</f>
        <v>search</v>
      </c>
    </row>
    <row r="29" customFormat="false" ht="15" hidden="false" customHeight="false" outlineLevel="0" collapsed="false">
      <c r="A29" s="0" t="n">
        <f aca="false">IF(ISNA(MATCH(28,BOM!$O$2:$O$110,0)),"",28)</f>
        <v>28</v>
      </c>
      <c r="B29" s="0" t="str">
        <f aca="false">IF($A29="","",INDEX(BOM!$B$2:$B$110,MATCH(28,BOM!$O$2:$O$110,0)))</f>
        <v>16 mm momentary metal push buttons, 5 pcs</v>
      </c>
      <c r="C29" s="0" t="n">
        <f aca="false">IF($A29="","",INDEX(BOM!$G$2:$G$110,MATCH(28,BOM!$O$2:$O$110,0)))</f>
        <v>2</v>
      </c>
      <c r="D29" s="9" t="n">
        <f aca="false">IF($A29="","",INDEX(BOM!$H$2:$H$110,MATCH(28,BOM!$O$2:$O$110,0)))</f>
        <v>11.99</v>
      </c>
      <c r="E29" s="9" t="n">
        <f aca="false">IF($A29="","",INDEX(BOM!$I$2:$I$110,MATCH(28,BOM!$O$2:$O$110,0)))</f>
        <v>23.98</v>
      </c>
      <c r="F29" s="0" t="str">
        <f aca="false">IF($A29="","",IF(INDEX(BOM!$K$2:$K$110,MATCH(28,BOM!$O$2:$O$110,0))="","",HYPERLINK(INDEX(BOM!$K$2:$K$110,MATCH(28,BOM!$O$2:$O$110,0)),"open on amazon.ca")))</f>
        <v>open on amazon.ca</v>
      </c>
      <c r="G29" s="0" t="str">
        <f aca="false">IF($A29="","",HYPERLINK(INDEX(BOM!$L$2:$L$110,MATCH(28,BOM!$O$2:$O$110,0)),"search"))</f>
        <v>search</v>
      </c>
    </row>
    <row r="30" customFormat="false" ht="15" hidden="false" customHeight="false" outlineLevel="0" collapsed="false">
      <c r="A30" s="0" t="n">
        <f aca="false">IF(ISNA(MATCH(29,BOM!$O$2:$O$110,0)),"",29)</f>
        <v>29</v>
      </c>
      <c r="B30" s="0" t="str">
        <f aca="false">IF($A30="","",INDEX(BOM!$B$2:$B$110,MATCH(29,BOM!$O$2:$O$110,0)))</f>
        <v>EC11 rotary encoder with push switch + knob, 10 pcs</v>
      </c>
      <c r="C30" s="0" t="n">
        <f aca="false">IF($A30="","",INDEX(BOM!$G$2:$G$110,MATCH(29,BOM!$O$2:$O$110,0)))</f>
        <v>1</v>
      </c>
      <c r="D30" s="9" t="n">
        <f aca="false">IF($A30="","",INDEX(BOM!$H$2:$H$110,MATCH(29,BOM!$O$2:$O$110,0)))</f>
        <v>17.99</v>
      </c>
      <c r="E30" s="9" t="n">
        <f aca="false">IF($A30="","",INDEX(BOM!$I$2:$I$110,MATCH(29,BOM!$O$2:$O$110,0)))</f>
        <v>17.99</v>
      </c>
      <c r="F30" s="0" t="str">
        <f aca="false">IF($A30="","",IF(INDEX(BOM!$K$2:$K$110,MATCH(29,BOM!$O$2:$O$110,0))="","",HYPERLINK(INDEX(BOM!$K$2:$K$110,MATCH(29,BOM!$O$2:$O$110,0)),"open on amazon.ca")))</f>
        <v>open on amazon.ca</v>
      </c>
      <c r="G30" s="0" t="str">
        <f aca="false">IF($A30="","",HYPERLINK(INDEX(BOM!$L$2:$L$110,MATCH(29,BOM!$O$2:$O$110,0)),"search"))</f>
        <v>search</v>
      </c>
    </row>
    <row r="31" customFormat="false" ht="15" hidden="false" customHeight="false" outlineLevel="0" collapsed="false">
      <c r="A31" s="0" t="n">
        <f aca="false">IF(ISNA(MATCH(30,BOM!$O$2:$O$110,0)),"",30)</f>
        <v>30</v>
      </c>
      <c r="B31" s="0" t="str">
        <f aca="false">IF($A31="","",INDEX(BOM!$B$2:$B$110,MATCH(30,BOM!$O$2:$O$110,0)))</f>
        <v>B10K linear potentiometer, 16 mm, 6 mm D shaft</v>
      </c>
      <c r="C31" s="0" t="n">
        <f aca="false">IF($A31="","",INDEX(BOM!$G$2:$G$110,MATCH(30,BOM!$O$2:$O$110,0)))</f>
        <v>1</v>
      </c>
      <c r="D31" s="9" t="n">
        <f aca="false">IF($A31="","",INDEX(BOM!$H$2:$H$110,MATCH(30,BOM!$O$2:$O$110,0)))</f>
        <v>6.95</v>
      </c>
      <c r="E31" s="9" t="n">
        <f aca="false">IF($A31="","",INDEX(BOM!$I$2:$I$110,MATCH(30,BOM!$O$2:$O$110,0)))</f>
        <v>6.95</v>
      </c>
      <c r="F31" s="0" t="str">
        <f aca="false">IF($A31="","",IF(INDEX(BOM!$K$2:$K$110,MATCH(30,BOM!$O$2:$O$110,0))="","",HYPERLINK(INDEX(BOM!$K$2:$K$110,MATCH(30,BOM!$O$2:$O$110,0)),"open on amazon.ca")))</f>
        <v>open on amazon.ca</v>
      </c>
      <c r="G31" s="0" t="str">
        <f aca="false">IF($A31="","",HYPERLINK(INDEX(BOM!$L$2:$L$110,MATCH(30,BOM!$O$2:$O$110,0)),"search"))</f>
        <v>search</v>
      </c>
    </row>
    <row r="32" customFormat="false" ht="15" hidden="false" customHeight="false" outlineLevel="0" collapsed="false">
      <c r="A32" s="0" t="n">
        <f aca="false">IF(ISNA(MATCH(31,BOM!$O$2:$O$110,0)),"",31)</f>
        <v>31</v>
      </c>
      <c r="B32" s="0" t="str">
        <f aca="false">IF($A32="","",INDEX(BOM!$B$2:$B$110,MATCH(31,BOM!$O$2:$O$110,0)))</f>
        <v>KW11 lever micro switch, 10 pcs</v>
      </c>
      <c r="C32" s="0" t="n">
        <f aca="false">IF($A32="","",INDEX(BOM!$G$2:$G$110,MATCH(31,BOM!$O$2:$O$110,0)))</f>
        <v>1</v>
      </c>
      <c r="D32" s="9" t="n">
        <f aca="false">IF($A32="","",INDEX(BOM!$H$2:$H$110,MATCH(31,BOM!$O$2:$O$110,0)))</f>
        <v>15.79</v>
      </c>
      <c r="E32" s="9" t="n">
        <f aca="false">IF($A32="","",INDEX(BOM!$I$2:$I$110,MATCH(31,BOM!$O$2:$O$110,0)))</f>
        <v>15.79</v>
      </c>
      <c r="F32" s="0" t="str">
        <f aca="false">IF($A32="","",IF(INDEX(BOM!$K$2:$K$110,MATCH(31,BOM!$O$2:$O$110,0))="","",HYPERLINK(INDEX(BOM!$K$2:$K$110,MATCH(31,BOM!$O$2:$O$110,0)),"open on amazon.ca")))</f>
        <v>open on amazon.ca</v>
      </c>
      <c r="G32" s="0" t="str">
        <f aca="false">IF($A32="","",HYPERLINK(INDEX(BOM!$L$2:$L$110,MATCH(31,BOM!$O$2:$O$110,0)),"search"))</f>
        <v>search</v>
      </c>
    </row>
    <row r="33" customFormat="false" ht="15" hidden="false" customHeight="false" outlineLevel="0" collapsed="false">
      <c r="A33" s="0" t="n">
        <f aca="false">IF(ISNA(MATCH(32,BOM!$O$2:$O$110,0)),"",32)</f>
        <v>32</v>
      </c>
      <c r="B33" s="0" t="str">
        <f aca="false">IF($A33="","",INDEX(BOM!$B$2:$B$110,MATCH(32,BOM!$O$2:$O$110,0)))</f>
        <v>19 mm key switch, 2 position, key removable in OFF</v>
      </c>
      <c r="C33" s="0" t="n">
        <f aca="false">IF($A33="","",INDEX(BOM!$G$2:$G$110,MATCH(32,BOM!$O$2:$O$110,0)))</f>
        <v>1</v>
      </c>
      <c r="D33" s="9" t="n">
        <f aca="false">IF($A33="","",INDEX(BOM!$H$2:$H$110,MATCH(32,BOM!$O$2:$O$110,0)))</f>
        <v>26.11</v>
      </c>
      <c r="E33" s="9" t="n">
        <f aca="false">IF($A33="","",INDEX(BOM!$I$2:$I$110,MATCH(32,BOM!$O$2:$O$110,0)))</f>
        <v>26.11</v>
      </c>
      <c r="F33" s="0" t="str">
        <f aca="false">IF($A33="","",IF(INDEX(BOM!$K$2:$K$110,MATCH(32,BOM!$O$2:$O$110,0))="","",HYPERLINK(INDEX(BOM!$K$2:$K$110,MATCH(32,BOM!$O$2:$O$110,0)),"open on amazon.ca")))</f>
        <v>open on amazon.ca</v>
      </c>
      <c r="G33" s="0" t="str">
        <f aca="false">IF($A33="","",HYPERLINK(INDEX(BOM!$L$2:$L$110,MATCH(32,BOM!$O$2:$O$110,0)),"search"))</f>
        <v>search</v>
      </c>
    </row>
    <row r="34" customFormat="false" ht="15" hidden="false" customHeight="false" outlineLevel="0" collapsed="false">
      <c r="A34" s="0" t="n">
        <f aca="false">IF(ISNA(MATCH(33,BOM!$O$2:$O$110,0)),"",33)</f>
        <v>33</v>
      </c>
      <c r="B34" s="0" t="str">
        <f aca="false">IF($A34="","",INDEX(BOM!$B$2:$B$110,MATCH(33,BOM!$O$2:$O$110,0)))</f>
        <v>WS2812B LED strip 5 V, 60 LED/m, 5 m, IP30 (no sleeve)</v>
      </c>
      <c r="C34" s="0" t="n">
        <f aca="false">IF($A34="","",INDEX(BOM!$G$2:$G$110,MATCH(33,BOM!$O$2:$O$110,0)))</f>
        <v>1</v>
      </c>
      <c r="D34" s="9" t="n">
        <f aca="false">IF($A34="","",INDEX(BOM!$H$2:$H$110,MATCH(33,BOM!$O$2:$O$110,0)))</f>
        <v>25.99</v>
      </c>
      <c r="E34" s="9" t="n">
        <f aca="false">IF($A34="","",INDEX(BOM!$I$2:$I$110,MATCH(33,BOM!$O$2:$O$110,0)))</f>
        <v>25.99</v>
      </c>
      <c r="F34" s="0" t="str">
        <f aca="false">IF($A34="","",IF(INDEX(BOM!$K$2:$K$110,MATCH(33,BOM!$O$2:$O$110,0))="","",HYPERLINK(INDEX(BOM!$K$2:$K$110,MATCH(33,BOM!$O$2:$O$110,0)),"open on amazon.ca")))</f>
        <v>open on amazon.ca</v>
      </c>
      <c r="G34" s="0" t="str">
        <f aca="false">IF($A34="","",HYPERLINK(INDEX(BOM!$L$2:$L$110,MATCH(33,BOM!$O$2:$O$110,0)),"search"))</f>
        <v>search</v>
      </c>
    </row>
    <row r="35" customFormat="false" ht="15" hidden="false" customHeight="false" outlineLevel="0" collapsed="false">
      <c r="A35" s="0" t="n">
        <f aca="false">IF(ISNA(MATCH(34,BOM!$O$2:$O$110,0)),"",34)</f>
        <v>34</v>
      </c>
      <c r="B35" s="0" t="str">
        <f aca="false">IF($A35="","",INDEX(BOM!$B$2:$B$110,MATCH(34,BOM!$O$2:$O$110,0)))</f>
        <v>WS2812D-F5 5 mm through-hole addressable RGB LEDs, ~40 pcs</v>
      </c>
      <c r="C35" s="0" t="n">
        <f aca="false">IF($A35="","",INDEX(BOM!$G$2:$G$110,MATCH(34,BOM!$O$2:$O$110,0)))</f>
        <v>1</v>
      </c>
      <c r="D35" s="9" t="n">
        <f aca="false">IF($A35="","",INDEX(BOM!$H$2:$H$110,MATCH(34,BOM!$O$2:$O$110,0)))</f>
        <v>20</v>
      </c>
      <c r="E35" s="9" t="n">
        <f aca="false">IF($A35="","",INDEX(BOM!$I$2:$I$110,MATCH(34,BOM!$O$2:$O$110,0)))</f>
        <v>20</v>
      </c>
      <c r="F35" s="0" t="str">
        <f aca="false">IF($A35="","",IF(INDEX(BOM!$K$2:$K$110,MATCH(34,BOM!$O$2:$O$110,0))="","",HYPERLINK(INDEX(BOM!$K$2:$K$110,MATCH(34,BOM!$O$2:$O$110,0)),"open on amazon.ca")))</f>
        <v/>
      </c>
      <c r="G35" s="0" t="str">
        <f aca="false">IF($A35="","",HYPERLINK(INDEX(BOM!$L$2:$L$110,MATCH(34,BOM!$O$2:$O$110,0)),"search"))</f>
        <v>search</v>
      </c>
    </row>
    <row r="36" customFormat="false" ht="15" hidden="false" customHeight="false" outlineLevel="0" collapsed="false">
      <c r="A36" s="0" t="n">
        <f aca="false">IF(ISNA(MATCH(35,BOM!$O$2:$O$110,0)),"",35)</f>
        <v>35</v>
      </c>
      <c r="B36" s="0" t="str">
        <f aca="false">IF($A36="","",INDEX(BOM!$B$2:$B$110,MATCH(35,BOM!$O$2:$O$110,0)))</f>
        <v>5 mm LED holders / bezels, 50 pcs</v>
      </c>
      <c r="C36" s="0" t="n">
        <f aca="false">IF($A36="","",INDEX(BOM!$G$2:$G$110,MATCH(35,BOM!$O$2:$O$110,0)))</f>
        <v>1</v>
      </c>
      <c r="D36" s="9" t="n">
        <f aca="false">IF($A36="","",INDEX(BOM!$H$2:$H$110,MATCH(35,BOM!$O$2:$O$110,0)))</f>
        <v>9.19</v>
      </c>
      <c r="E36" s="9" t="n">
        <f aca="false">IF($A36="","",INDEX(BOM!$I$2:$I$110,MATCH(35,BOM!$O$2:$O$110,0)))</f>
        <v>9.19</v>
      </c>
      <c r="F36" s="0" t="str">
        <f aca="false">IF($A36="","",IF(INDEX(BOM!$K$2:$K$110,MATCH(35,BOM!$O$2:$O$110,0))="","",HYPERLINK(INDEX(BOM!$K$2:$K$110,MATCH(35,BOM!$O$2:$O$110,0)),"open on amazon.ca")))</f>
        <v>open on amazon.ca</v>
      </c>
      <c r="G36" s="0" t="str">
        <f aca="false">IF($A36="","",HYPERLINK(INDEX(BOM!$L$2:$L$110,MATCH(35,BOM!$O$2:$O$110,0)),"search"))</f>
        <v>search</v>
      </c>
    </row>
    <row r="37" customFormat="false" ht="15" hidden="false" customHeight="false" outlineLevel="0" collapsed="false">
      <c r="A37" s="0" t="n">
        <f aca="false">IF(ISNA(MATCH(36,BOM!$O$2:$O$110,0)),"",36)</f>
        <v>36</v>
      </c>
      <c r="B37" s="0" t="str">
        <f aca="false">IF($A37="","",INDEX(BOM!$B$2:$B$110,MATCH(36,BOM!$O$2:$O$110,0)))</f>
        <v>Mean Well LRS-50-5 (5 V 10 A) power supply</v>
      </c>
      <c r="C37" s="0" t="n">
        <f aca="false">IF($A37="","",INDEX(BOM!$G$2:$G$110,MATCH(36,BOM!$O$2:$O$110,0)))</f>
        <v>1</v>
      </c>
      <c r="D37" s="9" t="n">
        <f aca="false">IF($A37="","",INDEX(BOM!$H$2:$H$110,MATCH(36,BOM!$O$2:$O$110,0)))</f>
        <v>31.75</v>
      </c>
      <c r="E37" s="9" t="n">
        <f aca="false">IF($A37="","",INDEX(BOM!$I$2:$I$110,MATCH(36,BOM!$O$2:$O$110,0)))</f>
        <v>31.75</v>
      </c>
      <c r="F37" s="0" t="str">
        <f aca="false">IF($A37="","",IF(INDEX(BOM!$K$2:$K$110,MATCH(36,BOM!$O$2:$O$110,0))="","",HYPERLINK(INDEX(BOM!$K$2:$K$110,MATCH(36,BOM!$O$2:$O$110,0)),"open on amazon.ca")))</f>
        <v>open on amazon.ca</v>
      </c>
      <c r="G37" s="0" t="str">
        <f aca="false">IF($A37="","",HYPERLINK(INDEX(BOM!$L$2:$L$110,MATCH(36,BOM!$O$2:$O$110,0)),"search"))</f>
        <v>search</v>
      </c>
    </row>
    <row r="38" customFormat="false" ht="15" hidden="false" customHeight="false" outlineLevel="0" collapsed="false">
      <c r="A38" s="0" t="n">
        <f aca="false">IF(ISNA(MATCH(37,BOM!$O$2:$O$110,0)),"",37)</f>
        <v>37</v>
      </c>
      <c r="B38" s="0" t="str">
        <f aca="false">IF($A38="","",INDEX(BOM!$B$2:$B$110,MATCH(37,BOM!$O$2:$O$110,0)))</f>
        <v>Inline 5x20 mm fuse holders + fast-blow fuse kit</v>
      </c>
      <c r="C38" s="0" t="n">
        <f aca="false">IF($A38="","",INDEX(BOM!$G$2:$G$110,MATCH(37,BOM!$O$2:$O$110,0)))</f>
        <v>1</v>
      </c>
      <c r="D38" s="9" t="n">
        <f aca="false">IF($A38="","",INDEX(BOM!$H$2:$H$110,MATCH(37,BOM!$O$2:$O$110,0)))</f>
        <v>14.99</v>
      </c>
      <c r="E38" s="9" t="n">
        <f aca="false">IF($A38="","",INDEX(BOM!$I$2:$I$110,MATCH(37,BOM!$O$2:$O$110,0)))</f>
        <v>14.99</v>
      </c>
      <c r="F38" s="0" t="str">
        <f aca="false">IF($A38="","",IF(INDEX(BOM!$K$2:$K$110,MATCH(37,BOM!$O$2:$O$110,0))="","",HYPERLINK(INDEX(BOM!$K$2:$K$110,MATCH(37,BOM!$O$2:$O$110,0)),"open on amazon.ca")))</f>
        <v>open on amazon.ca</v>
      </c>
      <c r="G38" s="0" t="str">
        <f aca="false">IF($A38="","",HYPERLINK(INDEX(BOM!$L$2:$L$110,MATCH(37,BOM!$O$2:$O$110,0)),"search"))</f>
        <v>search</v>
      </c>
    </row>
    <row r="39" customFormat="false" ht="15" hidden="false" customHeight="false" outlineLevel="0" collapsed="false">
      <c r="A39" s="0" t="n">
        <f aca="false">IF(ISNA(MATCH(38,BOM!$O$2:$O$110,0)),"",38)</f>
        <v>38</v>
      </c>
      <c r="B39" s="0" t="str">
        <f aca="false">IF($A39="","",INDEX(BOM!$B$2:$B$110,MATCH(38,BOM!$O$2:$O$110,0)))</f>
        <v>16 AWG red/black 2-conductor wire, 15 m (50 ft)</v>
      </c>
      <c r="C39" s="0" t="n">
        <f aca="false">IF($A39="","",INDEX(BOM!$G$2:$G$110,MATCH(38,BOM!$O$2:$O$110,0)))</f>
        <v>1</v>
      </c>
      <c r="D39" s="9" t="n">
        <f aca="false">IF($A39="","",INDEX(BOM!$H$2:$H$110,MATCH(38,BOM!$O$2:$O$110,0)))</f>
        <v>16.99</v>
      </c>
      <c r="E39" s="9" t="n">
        <f aca="false">IF($A39="","",INDEX(BOM!$I$2:$I$110,MATCH(38,BOM!$O$2:$O$110,0)))</f>
        <v>16.99</v>
      </c>
      <c r="F39" s="0" t="str">
        <f aca="false">IF($A39="","",IF(INDEX(BOM!$K$2:$K$110,MATCH(38,BOM!$O$2:$O$110,0))="","",HYPERLINK(INDEX(BOM!$K$2:$K$110,MATCH(38,BOM!$O$2:$O$110,0)),"open on amazon.ca")))</f>
        <v>open on amazon.ca</v>
      </c>
      <c r="G39" s="0" t="str">
        <f aca="false">IF($A39="","",HYPERLINK(INDEX(BOM!$L$2:$L$110,MATCH(38,BOM!$O$2:$O$110,0)),"search"))</f>
        <v>search</v>
      </c>
    </row>
    <row r="40" customFormat="false" ht="15" hidden="false" customHeight="false" outlineLevel="0" collapsed="false">
      <c r="A40" s="0" t="n">
        <f aca="false">IF(ISNA(MATCH(39,BOM!$O$2:$O$110,0)),"",39)</f>
        <v>39</v>
      </c>
      <c r="B40" s="0" t="str">
        <f aca="false">IF($A40="","",INDEX(BOM!$B$2:$B$110,MATCH(39,BOM!$O$2:$O$110,0)))</f>
        <v>18 AWG red/black silicone wire, 7.6 m (25 ft)</v>
      </c>
      <c r="C40" s="0" t="n">
        <f aca="false">IF($A40="","",INDEX(BOM!$G$2:$G$110,MATCH(39,BOM!$O$2:$O$110,0)))</f>
        <v>2</v>
      </c>
      <c r="D40" s="9" t="n">
        <f aca="false">IF($A40="","",INDEX(BOM!$H$2:$H$110,MATCH(39,BOM!$O$2:$O$110,0)))</f>
        <v>19.82</v>
      </c>
      <c r="E40" s="9" t="n">
        <f aca="false">IF($A40="","",INDEX(BOM!$I$2:$I$110,MATCH(39,BOM!$O$2:$O$110,0)))</f>
        <v>39.64</v>
      </c>
      <c r="F40" s="0" t="str">
        <f aca="false">IF($A40="","",IF(INDEX(BOM!$K$2:$K$110,MATCH(39,BOM!$O$2:$O$110,0))="","",HYPERLINK(INDEX(BOM!$K$2:$K$110,MATCH(39,BOM!$O$2:$O$110,0)),"open on amazon.ca")))</f>
        <v>open on amazon.ca</v>
      </c>
      <c r="G40" s="0" t="str">
        <f aca="false">IF($A40="","",HYPERLINK(INDEX(BOM!$L$2:$L$110,MATCH(39,BOM!$O$2:$O$110,0)),"search"))</f>
        <v>search</v>
      </c>
    </row>
    <row r="41" customFormat="false" ht="15" hidden="false" customHeight="false" outlineLevel="0" collapsed="false">
      <c r="A41" s="0" t="n">
        <f aca="false">IF(ISNA(MATCH(40,BOM!$O$2:$O$110,0)),"",40)</f>
        <v>40</v>
      </c>
      <c r="B41" s="0" t="str">
        <f aca="false">IF($A41="","",INDEX(BOM!$B$2:$B$110,MATCH(40,BOM!$O$2:$O$110,0)))</f>
        <v>JST-SM 3-pin pigtails (WS2812), 60 pcs</v>
      </c>
      <c r="C41" s="0" t="n">
        <f aca="false">IF($A41="","",INDEX(BOM!$G$2:$G$110,MATCH(40,BOM!$O$2:$O$110,0)))</f>
        <v>1</v>
      </c>
      <c r="D41" s="9" t="n">
        <f aca="false">IF($A41="","",INDEX(BOM!$H$2:$H$110,MATCH(40,BOM!$O$2:$O$110,0)))</f>
        <v>18.59</v>
      </c>
      <c r="E41" s="9" t="n">
        <f aca="false">IF($A41="","",INDEX(BOM!$I$2:$I$110,MATCH(40,BOM!$O$2:$O$110,0)))</f>
        <v>18.59</v>
      </c>
      <c r="F41" s="0" t="str">
        <f aca="false">IF($A41="","",IF(INDEX(BOM!$K$2:$K$110,MATCH(40,BOM!$O$2:$O$110,0))="","",HYPERLINK(INDEX(BOM!$K$2:$K$110,MATCH(40,BOM!$O$2:$O$110,0)),"open on amazon.ca")))</f>
        <v>open on amazon.ca</v>
      </c>
      <c r="G41" s="0" t="str">
        <f aca="false">IF($A41="","",HYPERLINK(INDEX(BOM!$L$2:$L$110,MATCH(40,BOM!$O$2:$O$110,0)),"search"))</f>
        <v>search</v>
      </c>
    </row>
    <row r="42" customFormat="false" ht="15" hidden="false" customHeight="false" outlineLevel="0" collapsed="false">
      <c r="A42" s="0" t="n">
        <f aca="false">IF(ISNA(MATCH(41,BOM!$O$2:$O$110,0)),"",41)</f>
        <v>41</v>
      </c>
      <c r="B42" s="0" t="str">
        <f aca="false">IF($A42="","",INDEX(BOM!$B$2:$B$110,MATCH(41,BOM!$O$2:$O$110,0)))</f>
        <v>PETG filament 1.75 mm BLACK, 1 kg</v>
      </c>
      <c r="C42" s="0" t="n">
        <f aca="false">IF($A42="","",INDEX(BOM!$G$2:$G$110,MATCH(41,BOM!$O$2:$O$110,0)))</f>
        <v>6</v>
      </c>
      <c r="D42" s="9" t="n">
        <f aca="false">IF($A42="","",INDEX(BOM!$H$2:$H$110,MATCH(41,BOM!$O$2:$O$110,0)))</f>
        <v>19.94</v>
      </c>
      <c r="E42" s="9" t="n">
        <f aca="false">IF($A42="","",INDEX(BOM!$I$2:$I$110,MATCH(41,BOM!$O$2:$O$110,0)))</f>
        <v>119.64</v>
      </c>
      <c r="F42" s="0" t="str">
        <f aca="false">IF($A42="","",IF(INDEX(BOM!$K$2:$K$110,MATCH(41,BOM!$O$2:$O$110,0))="","",HYPERLINK(INDEX(BOM!$K$2:$K$110,MATCH(41,BOM!$O$2:$O$110,0)),"open on amazon.ca")))</f>
        <v>open on amazon.ca</v>
      </c>
      <c r="G42" s="0" t="str">
        <f aca="false">IF($A42="","",HYPERLINK(INDEX(BOM!$L$2:$L$110,MATCH(41,BOM!$O$2:$O$110,0)),"search"))</f>
        <v>search</v>
      </c>
    </row>
    <row r="43" customFormat="false" ht="15" hidden="false" customHeight="false" outlineLevel="0" collapsed="false">
      <c r="A43" s="0" t="n">
        <f aca="false">IF(ISNA(MATCH(42,BOM!$O$2:$O$110,0)),"",42)</f>
        <v>42</v>
      </c>
      <c r="B43" s="0" t="str">
        <f aca="false">IF($A43="","",INDEX(BOM!$B$2:$B$110,MATCH(42,BOM!$O$2:$O$110,0)))</f>
        <v>PETG filament 1.75 mm WHITE, 1 kg</v>
      </c>
      <c r="C43" s="0" t="n">
        <f aca="false">IF($A43="","",INDEX(BOM!$G$2:$G$110,MATCH(42,BOM!$O$2:$O$110,0)))</f>
        <v>1</v>
      </c>
      <c r="D43" s="9" t="n">
        <f aca="false">IF($A43="","",INDEX(BOM!$H$2:$H$110,MATCH(42,BOM!$O$2:$O$110,0)))</f>
        <v>20.89</v>
      </c>
      <c r="E43" s="9" t="n">
        <f aca="false">IF($A43="","",INDEX(BOM!$I$2:$I$110,MATCH(42,BOM!$O$2:$O$110,0)))</f>
        <v>20.89</v>
      </c>
      <c r="F43" s="0" t="str">
        <f aca="false">IF($A43="","",IF(INDEX(BOM!$K$2:$K$110,MATCH(42,BOM!$O$2:$O$110,0))="","",HYPERLINK(INDEX(BOM!$K$2:$K$110,MATCH(42,BOM!$O$2:$O$110,0)),"open on amazon.ca")))</f>
        <v>open on amazon.ca</v>
      </c>
      <c r="G43" s="0" t="str">
        <f aca="false">IF($A43="","",HYPERLINK(INDEX(BOM!$L$2:$L$110,MATCH(42,BOM!$O$2:$O$110,0)),"search"))</f>
        <v>search</v>
      </c>
    </row>
    <row r="44" customFormat="false" ht="15" hidden="false" customHeight="false" outlineLevel="0" collapsed="false">
      <c r="A44" s="0" t="n">
        <f aca="false">IF(ISNA(MATCH(43,BOM!$O$2:$O$110,0)),"",43)</f>
        <v>43</v>
      </c>
      <c r="B44" s="0" t="str">
        <f aca="false">IF($A44="","",INDEX(BOM!$B$2:$B$110,MATCH(43,BOM!$O$2:$O$110,0)))</f>
        <v>Brass heat-set inserts kit M2-M6 (360 pcs)</v>
      </c>
      <c r="C44" s="0" t="n">
        <f aca="false">IF($A44="","",INDEX(BOM!$G$2:$G$110,MATCH(43,BOM!$O$2:$O$110,0)))</f>
        <v>1</v>
      </c>
      <c r="D44" s="9" t="n">
        <f aca="false">IF($A44="","",INDEX(BOM!$H$2:$H$110,MATCH(43,BOM!$O$2:$O$110,0)))</f>
        <v>26.99</v>
      </c>
      <c r="E44" s="9" t="n">
        <f aca="false">IF($A44="","",INDEX(BOM!$I$2:$I$110,MATCH(43,BOM!$O$2:$O$110,0)))</f>
        <v>26.99</v>
      </c>
      <c r="F44" s="0" t="str">
        <f aca="false">IF($A44="","",IF(INDEX(BOM!$K$2:$K$110,MATCH(43,BOM!$O$2:$O$110,0))="","",HYPERLINK(INDEX(BOM!$K$2:$K$110,MATCH(43,BOM!$O$2:$O$110,0)),"open on amazon.ca")))</f>
        <v>open on amazon.ca</v>
      </c>
      <c r="G44" s="0" t="str">
        <f aca="false">IF($A44="","",HYPERLINK(INDEX(BOM!$L$2:$L$110,MATCH(43,BOM!$O$2:$O$110,0)),"search"))</f>
        <v>search</v>
      </c>
    </row>
    <row r="45" customFormat="false" ht="15" hidden="false" customHeight="false" outlineLevel="0" collapsed="false">
      <c r="A45" s="0" t="n">
        <f aca="false">IF(ISNA(MATCH(44,BOM!$O$2:$O$110,0)),"",44)</f>
        <v>44</v>
      </c>
      <c r="B45" s="0" t="str">
        <f aca="false">IF($A45="","",INDEX(BOM!$B$2:$B$110,MATCH(44,BOM!$O$2:$O$110,0)))</f>
        <v>Metric socket screw assortment M2-M5 (1760 pcs)</v>
      </c>
      <c r="C45" s="0" t="n">
        <f aca="false">IF($A45="","",INDEX(BOM!$G$2:$G$110,MATCH(44,BOM!$O$2:$O$110,0)))</f>
        <v>1</v>
      </c>
      <c r="D45" s="9" t="n">
        <f aca="false">IF($A45="","",INDEX(BOM!$H$2:$H$110,MATCH(44,BOM!$O$2:$O$110,0)))</f>
        <v>28.99</v>
      </c>
      <c r="E45" s="9" t="n">
        <f aca="false">IF($A45="","",INDEX(BOM!$I$2:$I$110,MATCH(44,BOM!$O$2:$O$110,0)))</f>
        <v>28.99</v>
      </c>
      <c r="F45" s="0" t="str">
        <f aca="false">IF($A45="","",IF(INDEX(BOM!$K$2:$K$110,MATCH(44,BOM!$O$2:$O$110,0))="","",HYPERLINK(INDEX(BOM!$K$2:$K$110,MATCH(44,BOM!$O$2:$O$110,0)),"open on amazon.ca")))</f>
        <v>open on amazon.ca</v>
      </c>
      <c r="G45" s="0" t="str">
        <f aca="false">IF($A45="","",HYPERLINK(INDEX(BOM!$L$2:$L$110,MATCH(44,BOM!$O$2:$O$110,0)),"search"))</f>
        <v>search</v>
      </c>
    </row>
    <row r="46" customFormat="false" ht="15" hidden="false" customHeight="false" outlineLevel="0" collapsed="false">
      <c r="A46" s="0" t="n">
        <f aca="false">IF(ISNA(MATCH(45,BOM!$O$2:$O$110,0)),"",45)</f>
        <v>45</v>
      </c>
      <c r="B46" s="0" t="str">
        <f aca="false">IF($A46="","",INDEX(BOM!$B$2:$B$110,MATCH(45,BOM!$O$2:$O$110,0)))</f>
        <v>Self-tapping screw assortment M2 / M2.5 / M3</v>
      </c>
      <c r="C46" s="0" t="n">
        <f aca="false">IF($A46="","",INDEX(BOM!$G$2:$G$110,MATCH(45,BOM!$O$2:$O$110,0)))</f>
        <v>1</v>
      </c>
      <c r="D46" s="9" t="n">
        <f aca="false">IF($A46="","",INDEX(BOM!$H$2:$H$110,MATCH(45,BOM!$O$2:$O$110,0)))</f>
        <v>16.99</v>
      </c>
      <c r="E46" s="9" t="n">
        <f aca="false">IF($A46="","",INDEX(BOM!$I$2:$I$110,MATCH(45,BOM!$O$2:$O$110,0)))</f>
        <v>16.99</v>
      </c>
      <c r="F46" s="0" t="str">
        <f aca="false">IF($A46="","",IF(INDEX(BOM!$K$2:$K$110,MATCH(45,BOM!$O$2:$O$110,0))="","",HYPERLINK(INDEX(BOM!$K$2:$K$110,MATCH(45,BOM!$O$2:$O$110,0)),"open on amazon.ca")))</f>
        <v>open on amazon.ca</v>
      </c>
      <c r="G46" s="0" t="str">
        <f aca="false">IF($A46="","",HYPERLINK(INDEX(BOM!$L$2:$L$110,MATCH(45,BOM!$O$2:$O$110,0)),"search"))</f>
        <v>search</v>
      </c>
    </row>
    <row r="47" customFormat="false" ht="15" hidden="false" customHeight="false" outlineLevel="0" collapsed="false">
      <c r="A47" s="0" t="n">
        <f aca="false">IF(ISNA(MATCH(46,BOM!$O$2:$O$110,0)),"",46)</f>
        <v>46</v>
      </c>
      <c r="B47" s="0" t="str">
        <f aca="false">IF($A47="","",INDEX(BOM!$B$2:$B$110,MATCH(46,BOM!$O$2:$O$110,0)))</f>
        <v>M5 four-prong T-nuts, M5 x 8 mm, 200 pcs</v>
      </c>
      <c r="C47" s="0" t="n">
        <f aca="false">IF($A47="","",INDEX(BOM!$G$2:$G$110,MATCH(46,BOM!$O$2:$O$110,0)))</f>
        <v>1</v>
      </c>
      <c r="D47" s="9" t="n">
        <f aca="false">IF($A47="","",INDEX(BOM!$H$2:$H$110,MATCH(46,BOM!$O$2:$O$110,0)))</f>
        <v>44.38</v>
      </c>
      <c r="E47" s="9" t="n">
        <f aca="false">IF($A47="","",INDEX(BOM!$I$2:$I$110,MATCH(46,BOM!$O$2:$O$110,0)))</f>
        <v>44.38</v>
      </c>
      <c r="F47" s="0" t="str">
        <f aca="false">IF($A47="","",IF(INDEX(BOM!$K$2:$K$110,MATCH(46,BOM!$O$2:$O$110,0))="","",HYPERLINK(INDEX(BOM!$K$2:$K$110,MATCH(46,BOM!$O$2:$O$110,0)),"open on amazon.ca")))</f>
        <v>open on amazon.ca</v>
      </c>
      <c r="G47" s="0" t="str">
        <f aca="false">IF($A47="","",HYPERLINK(INDEX(BOM!$L$2:$L$110,MATCH(46,BOM!$O$2:$O$110,0)),"search"))</f>
        <v>search</v>
      </c>
    </row>
    <row r="48" customFormat="false" ht="15" hidden="false" customHeight="false" outlineLevel="0" collapsed="false">
      <c r="A48" s="0" t="n">
        <f aca="false">IF(ISNA(MATCH(47,BOM!$O$2:$O$110,0)),"",47)</f>
        <v>47</v>
      </c>
      <c r="B48" s="0" t="str">
        <f aca="false">IF($A48="","",INDEX(BOM!$B$2:$B$110,MATCH(47,BOM!$O$2:$O$110,0)))</f>
        <v>M5 x 20 flanged button-head socket screws, black, 50 pcs</v>
      </c>
      <c r="C48" s="0" t="n">
        <f aca="false">IF($A48="","",INDEX(BOM!$G$2:$G$110,MATCH(47,BOM!$O$2:$O$110,0)))</f>
        <v>4</v>
      </c>
      <c r="D48" s="9" t="n">
        <f aca="false">IF($A48="","",INDEX(BOM!$H$2:$H$110,MATCH(47,BOM!$O$2:$O$110,0)))</f>
        <v>14.99</v>
      </c>
      <c r="E48" s="9" t="n">
        <f aca="false">IF($A48="","",INDEX(BOM!$I$2:$I$110,MATCH(47,BOM!$O$2:$O$110,0)))</f>
        <v>59.96</v>
      </c>
      <c r="F48" s="0" t="str">
        <f aca="false">IF($A48="","",IF(INDEX(BOM!$K$2:$K$110,MATCH(47,BOM!$O$2:$O$110,0))="","",HYPERLINK(INDEX(BOM!$K$2:$K$110,MATCH(47,BOM!$O$2:$O$110,0)),"open on amazon.ca")))</f>
        <v>open on amazon.ca</v>
      </c>
      <c r="G48" s="0" t="str">
        <f aca="false">IF($A48="","",HYPERLINK(INDEX(BOM!$L$2:$L$110,MATCH(47,BOM!$O$2:$O$110,0)),"search"))</f>
        <v>search</v>
      </c>
    </row>
    <row r="49" customFormat="false" ht="15" hidden="false" customHeight="false" outlineLevel="0" collapsed="false">
      <c r="A49" s="0" t="n">
        <f aca="false">IF(ISNA(MATCH(48,BOM!$O$2:$O$110,0)),"",48)</f>
        <v>48</v>
      </c>
      <c r="B49" s="0" t="str">
        <f aca="false">IF($A49="","",INDEX(BOM!$B$2:$B$110,MATCH(48,BOM!$O$2:$O$110,0)))</f>
        <v>M5 flat washers, 200 pcs</v>
      </c>
      <c r="C49" s="0" t="n">
        <f aca="false">IF($A49="","",INDEX(BOM!$G$2:$G$110,MATCH(48,BOM!$O$2:$O$110,0)))</f>
        <v>1</v>
      </c>
      <c r="D49" s="9" t="n">
        <f aca="false">IF($A49="","",INDEX(BOM!$H$2:$H$110,MATCH(48,BOM!$O$2:$O$110,0)))</f>
        <v>9.99</v>
      </c>
      <c r="E49" s="9" t="n">
        <f aca="false">IF($A49="","",INDEX(BOM!$I$2:$I$110,MATCH(48,BOM!$O$2:$O$110,0)))</f>
        <v>9.99</v>
      </c>
      <c r="F49" s="0" t="str">
        <f aca="false">IF($A49="","",IF(INDEX(BOM!$K$2:$K$110,MATCH(48,BOM!$O$2:$O$110,0))="","",HYPERLINK(INDEX(BOM!$K$2:$K$110,MATCH(48,BOM!$O$2:$O$110,0)),"open on amazon.ca")))</f>
        <v>open on amazon.ca</v>
      </c>
      <c r="G49" s="0" t="str">
        <f aca="false">IF($A49="","",HYPERLINK(INDEX(BOM!$L$2:$L$110,MATCH(48,BOM!$O$2:$O$110,0)),"search"))</f>
        <v>search</v>
      </c>
    </row>
    <row r="50" customFormat="false" ht="15" hidden="false" customHeight="false" outlineLevel="0" collapsed="false">
      <c r="A50" s="0" t="n">
        <f aca="false">IF(ISNA(MATCH(49,BOM!$O$2:$O$110,0)),"",49)</f>
        <v>49</v>
      </c>
      <c r="B50" s="0" t="str">
        <f aca="false">IF($A50="","",INDEX(BOM!$B$2:$B$110,MATCH(49,BOM!$O$2:$O$110,0)))</f>
        <v>2 mm stainless safety cable with loops, 300 mm (12"), 5 pcs</v>
      </c>
      <c r="C50" s="0" t="n">
        <f aca="false">IF($A50="","",INDEX(BOM!$G$2:$G$110,MATCH(49,BOM!$O$2:$O$110,0)))</f>
        <v>1</v>
      </c>
      <c r="D50" s="9" t="n">
        <f aca="false">IF($A50="","",INDEX(BOM!$H$2:$H$110,MATCH(49,BOM!$O$2:$O$110,0)))</f>
        <v>9.99</v>
      </c>
      <c r="E50" s="9" t="n">
        <f aca="false">IF($A50="","",INDEX(BOM!$I$2:$I$110,MATCH(49,BOM!$O$2:$O$110,0)))</f>
        <v>9.99</v>
      </c>
      <c r="F50" s="0" t="str">
        <f aca="false">IF($A50="","",IF(INDEX(BOM!$K$2:$K$110,MATCH(49,BOM!$O$2:$O$110,0))="","",HYPERLINK(INDEX(BOM!$K$2:$K$110,MATCH(49,BOM!$O$2:$O$110,0)),"open on amazon.ca")))</f>
        <v>open on amazon.ca</v>
      </c>
      <c r="G50" s="0" t="str">
        <f aca="false">IF($A50="","",HYPERLINK(INDEX(BOM!$L$2:$L$110,MATCH(49,BOM!$O$2:$O$110,0)),"search"))</f>
        <v>search</v>
      </c>
    </row>
    <row r="51" customFormat="false" ht="15" hidden="false" customHeight="false" outlineLevel="0" collapsed="false">
      <c r="A51" s="0" t="n">
        <f aca="false">IF(ISNA(MATCH(50,BOM!$O$2:$O$110,0)),"",50)</f>
        <v>50</v>
      </c>
      <c r="B51" s="0" t="str">
        <f aca="false">IF($A51="","",INDEX(BOM!$B$2:$B$110,MATCH(50,BOM!$O$2:$O$110,0)))</f>
        <v>25 mm linear shaft, 1000 mm, 2 pcs</v>
      </c>
      <c r="C51" s="0" t="n">
        <f aca="false">IF($A51="","",INDEX(BOM!$G$2:$G$110,MATCH(50,BOM!$O$2:$O$110,0)))</f>
        <v>1</v>
      </c>
      <c r="D51" s="9" t="n">
        <f aca="false">IF($A51="","",INDEX(BOM!$H$2:$H$110,MATCH(50,BOM!$O$2:$O$110,0)))</f>
        <v>46.99</v>
      </c>
      <c r="E51" s="9" t="n">
        <f aca="false">IF($A51="","",INDEX(BOM!$I$2:$I$110,MATCH(50,BOM!$O$2:$O$110,0)))</f>
        <v>46.99</v>
      </c>
      <c r="F51" s="0" t="str">
        <f aca="false">IF($A51="","",IF(INDEX(BOM!$K$2:$K$110,MATCH(50,BOM!$O$2:$O$110,0))="","",HYPERLINK(INDEX(BOM!$K$2:$K$110,MATCH(50,BOM!$O$2:$O$110,0)),"open on amazon.ca")))</f>
        <v>open on amazon.ca</v>
      </c>
      <c r="G51" s="0" t="str">
        <f aca="false">IF($A51="","",HYPERLINK(INDEX(BOM!$L$2:$L$110,MATCH(50,BOM!$O$2:$O$110,0)),"search"))</f>
        <v>search</v>
      </c>
    </row>
    <row r="52" customFormat="false" ht="15" hidden="false" customHeight="false" outlineLevel="0" collapsed="false">
      <c r="A52" s="0" t="n">
        <f aca="false">IF(ISNA(MATCH(51,BOM!$O$2:$O$110,0)),"",51)</f>
        <v>51</v>
      </c>
      <c r="B52" s="0" t="str">
        <f aca="false">IF($A52="","",INDEX(BOM!$B$2:$B$110,MATCH(51,BOM!$O$2:$O$110,0)))</f>
        <v>SHF25 shaft supports, 4 pcs</v>
      </c>
      <c r="C52" s="0" t="n">
        <f aca="false">IF($A52="","",INDEX(BOM!$G$2:$G$110,MATCH(51,BOM!$O$2:$O$110,0)))</f>
        <v>2</v>
      </c>
      <c r="D52" s="9" t="n">
        <f aca="false">IF($A52="","",INDEX(BOM!$H$2:$H$110,MATCH(51,BOM!$O$2:$O$110,0)))</f>
        <v>13.49</v>
      </c>
      <c r="E52" s="9" t="n">
        <f aca="false">IF($A52="","",INDEX(BOM!$I$2:$I$110,MATCH(51,BOM!$O$2:$O$110,0)))</f>
        <v>26.98</v>
      </c>
      <c r="F52" s="0" t="str">
        <f aca="false">IF($A52="","",IF(INDEX(BOM!$K$2:$K$110,MATCH(51,BOM!$O$2:$O$110,0))="","",HYPERLINK(INDEX(BOM!$K$2:$K$110,MATCH(51,BOM!$O$2:$O$110,0)),"open on amazon.ca")))</f>
        <v>open on amazon.ca</v>
      </c>
      <c r="G52" s="0" t="str">
        <f aca="false">IF($A52="","",HYPERLINK(INDEX(BOM!$L$2:$L$110,MATCH(51,BOM!$O$2:$O$110,0)),"search"))</f>
        <v>search</v>
      </c>
    </row>
    <row r="53" customFormat="false" ht="15" hidden="false" customHeight="false" outlineLevel="0" collapsed="false">
      <c r="A53" s="0" t="n">
        <f aca="false">IF(ISNA(MATCH(52,BOM!$O$2:$O$110,0)),"",52)</f>
        <v>52</v>
      </c>
      <c r="B53" s="0" t="str">
        <f aca="false">IF($A53="","",INDEX(BOM!$B$2:$B$110,MATCH(52,BOM!$O$2:$O$110,0)))</f>
        <v>UCP205 pillow block bearings 25 mm, 2-pack</v>
      </c>
      <c r="C53" s="0" t="n">
        <f aca="false">IF($A53="","",INDEX(BOM!$G$2:$G$110,MATCH(52,BOM!$O$2:$O$110,0)))</f>
        <v>1</v>
      </c>
      <c r="D53" s="9" t="n">
        <f aca="false">IF($A53="","",INDEX(BOM!$H$2:$H$110,MATCH(52,BOM!$O$2:$O$110,0)))</f>
        <v>37.75</v>
      </c>
      <c r="E53" s="9" t="n">
        <f aca="false">IF($A53="","",INDEX(BOM!$I$2:$I$110,MATCH(52,BOM!$O$2:$O$110,0)))</f>
        <v>37.75</v>
      </c>
      <c r="F53" s="0" t="str">
        <f aca="false">IF($A53="","",IF(INDEX(BOM!$K$2:$K$110,MATCH(52,BOM!$O$2:$O$110,0))="","",HYPERLINK(INDEX(BOM!$K$2:$K$110,MATCH(52,BOM!$O$2:$O$110,0)),"open on amazon.ca")))</f>
        <v>open on amazon.ca</v>
      </c>
      <c r="G53" s="0" t="str">
        <f aca="false">IF($A53="","",HYPERLINK(INDEX(BOM!$L$2:$L$110,MATCH(52,BOM!$O$2:$O$110,0)),"search"))</f>
        <v>search</v>
      </c>
    </row>
    <row r="54" customFormat="false" ht="15" hidden="false" customHeight="false" outlineLevel="0" collapsed="false">
      <c r="A54" s="0" t="n">
        <f aca="false">IF(ISNA(MATCH(53,BOM!$O$2:$O$110,0)),"",53)</f>
        <v>53</v>
      </c>
      <c r="B54" s="0" t="str">
        <f aca="false">IF($A54="","",INDEX(BOM!$B$2:$B$110,MATCH(53,BOM!$O$2:$O$110,0)))</f>
        <v>UCF205 4-bolt flange bearing 25 mm</v>
      </c>
      <c r="C54" s="0" t="n">
        <f aca="false">IF($A54="","",INDEX(BOM!$G$2:$G$110,MATCH(53,BOM!$O$2:$O$110,0)))</f>
        <v>2</v>
      </c>
      <c r="D54" s="9" t="n">
        <f aca="false">IF($A54="","",INDEX(BOM!$H$2:$H$110,MATCH(53,BOM!$O$2:$O$110,0)))</f>
        <v>20.79</v>
      </c>
      <c r="E54" s="9" t="n">
        <f aca="false">IF($A54="","",INDEX(BOM!$I$2:$I$110,MATCH(53,BOM!$O$2:$O$110,0)))</f>
        <v>41.58</v>
      </c>
      <c r="F54" s="0" t="str">
        <f aca="false">IF($A54="","",IF(INDEX(BOM!$K$2:$K$110,MATCH(53,BOM!$O$2:$O$110,0))="","",HYPERLINK(INDEX(BOM!$K$2:$K$110,MATCH(53,BOM!$O$2:$O$110,0)),"open on amazon.ca")))</f>
        <v>open on amazon.ca</v>
      </c>
      <c r="G54" s="0" t="str">
        <f aca="false">IF($A54="","",HYPERLINK(INDEX(BOM!$L$2:$L$110,MATCH(53,BOM!$O$2:$O$110,0)),"search"))</f>
        <v>search</v>
      </c>
    </row>
    <row r="55" customFormat="false" ht="15" hidden="false" customHeight="false" outlineLevel="0" collapsed="false">
      <c r="A55" s="0" t="n">
        <f aca="false">IF(ISNA(MATCH(54,BOM!$O$2:$O$110,0)),"",54)</f>
        <v>54</v>
      </c>
      <c r="B55" s="0" t="str">
        <f aca="false">IF($A55="","",INDEX(BOM!$B$2:$B$110,MATCH(54,BOM!$O$2:$O$110,0)))</f>
        <v>25 mm steel double-split shaft collars, 2 pcs</v>
      </c>
      <c r="C55" s="0" t="n">
        <f aca="false">IF($A55="","",INDEX(BOM!$G$2:$G$110,MATCH(54,BOM!$O$2:$O$110,0)))</f>
        <v>2</v>
      </c>
      <c r="D55" s="9" t="n">
        <f aca="false">IF($A55="","",INDEX(BOM!$H$2:$H$110,MATCH(54,BOM!$O$2:$O$110,0)))</f>
        <v>17.49</v>
      </c>
      <c r="E55" s="9" t="n">
        <f aca="false">IF($A55="","",INDEX(BOM!$I$2:$I$110,MATCH(54,BOM!$O$2:$O$110,0)))</f>
        <v>34.98</v>
      </c>
      <c r="F55" s="0" t="str">
        <f aca="false">IF($A55="","",IF(INDEX(BOM!$K$2:$K$110,MATCH(54,BOM!$O$2:$O$110,0))="","",HYPERLINK(INDEX(BOM!$K$2:$K$110,MATCH(54,BOM!$O$2:$O$110,0)),"open on amazon.ca")))</f>
        <v>open on amazon.ca</v>
      </c>
      <c r="G55" s="0" t="str">
        <f aca="false">IF($A55="","",HYPERLINK(INDEX(BOM!$L$2:$L$110,MATCH(54,BOM!$O$2:$O$110,0)),"search"))</f>
        <v>search</v>
      </c>
    </row>
    <row r="56" customFormat="false" ht="15" hidden="false" customHeight="false" outlineLevel="0" collapsed="false">
      <c r="A56" s="0" t="n">
        <f aca="false">IF(ISNA(MATCH(55,BOM!$O$2:$O$110,0)),"",55)</f>
        <v>55</v>
      </c>
      <c r="B56" s="0" t="str">
        <f aca="false">IF($A56="","",INDEX(BOM!$B$2:$B$110,MATCH(55,BOM!$O$2:$O$110,0)))</f>
        <v>Cradle linear actuator 12 V, 10" (254 mm) stroke, 1500 N (330 lbf), self-locking</v>
      </c>
      <c r="C56" s="0" t="n">
        <f aca="false">IF($A56="","",INDEX(BOM!$G$2:$G$110,MATCH(55,BOM!$O$2:$O$110,0)))</f>
        <v>2</v>
      </c>
      <c r="D56" s="9" t="n">
        <f aca="false">IF($A56="","",INDEX(BOM!$H$2:$H$110,MATCH(55,BOM!$O$2:$O$110,0)))</f>
        <v>62.33</v>
      </c>
      <c r="E56" s="9" t="n">
        <f aca="false">IF($A56="","",INDEX(BOM!$I$2:$I$110,MATCH(55,BOM!$O$2:$O$110,0)))</f>
        <v>124.66</v>
      </c>
      <c r="F56" s="0" t="str">
        <f aca="false">IF($A56="","",IF(INDEX(BOM!$K$2:$K$110,MATCH(55,BOM!$O$2:$O$110,0))="","",HYPERLINK(INDEX(BOM!$K$2:$K$110,MATCH(55,BOM!$O$2:$O$110,0)),"open on amazon.ca")))</f>
        <v>open on amazon.ca</v>
      </c>
      <c r="G56" s="0" t="str">
        <f aca="false">IF($A56="","",HYPERLINK(INDEX(BOM!$L$2:$L$110,MATCH(55,BOM!$O$2:$O$110,0)),"search"))</f>
        <v>search</v>
      </c>
    </row>
    <row r="57" customFormat="false" ht="15" hidden="false" customHeight="false" outlineLevel="0" collapsed="false">
      <c r="A57" s="0" t="n">
        <f aca="false">IF(ISNA(MATCH(56,BOM!$O$2:$O$110,0)),"",56)</f>
        <v>56</v>
      </c>
      <c r="B57" s="0" t="str">
        <f aca="false">IF($A57="","",INDEX(BOM!$B$2:$B$110,MATCH(56,BOM!$O$2:$O$110,0)))</f>
        <v>Pod linear actuator 12 V, 12" (300 mm) stroke, 1500 N (330 lbf), self-locking - ONE (left casing)</v>
      </c>
      <c r="C57" s="0" t="n">
        <f aca="false">IF($A57="","",INDEX(BOM!$G$2:$G$110,MATCH(56,BOM!$O$2:$O$110,0)))</f>
        <v>1</v>
      </c>
      <c r="D57" s="9" t="n">
        <f aca="false">IF($A57="","",INDEX(BOM!$H$2:$H$110,MATCH(56,BOM!$O$2:$O$110,0)))</f>
        <v>67.82</v>
      </c>
      <c r="E57" s="9" t="n">
        <f aca="false">IF($A57="","",INDEX(BOM!$I$2:$I$110,MATCH(56,BOM!$O$2:$O$110,0)))</f>
        <v>67.82</v>
      </c>
      <c r="F57" s="0" t="str">
        <f aca="false">IF($A57="","",IF(INDEX(BOM!$K$2:$K$110,MATCH(56,BOM!$O$2:$O$110,0))="","",HYPERLINK(INDEX(BOM!$K$2:$K$110,MATCH(56,BOM!$O$2:$O$110,0)),"open on amazon.ca")))</f>
        <v>open on amazon.ca</v>
      </c>
      <c r="G57" s="0" t="str">
        <f aca="false">IF($A57="","",HYPERLINK(INDEX(BOM!$L$2:$L$110,MATCH(56,BOM!$O$2:$O$110,0)),"search"))</f>
        <v>search</v>
      </c>
    </row>
    <row r="58" customFormat="false" ht="15" hidden="false" customHeight="false" outlineLevel="0" collapsed="false">
      <c r="A58" s="0" t="n">
        <f aca="false">IF(ISNA(MATCH(57,BOM!$O$2:$O$110,0)),"",57)</f>
        <v>57</v>
      </c>
      <c r="B58" s="0" t="str">
        <f aca="false">IF($A58="","",INDEX(BOM!$B$2:$B$110,MATCH(57,BOM!$O$2:$O$110,0)))</f>
        <v>Gas struts (pair), ~250 mm extended, ~1050 N (235 lbf) each, M8 eye ends</v>
      </c>
      <c r="C58" s="0" t="n">
        <f aca="false">IF($A58="","",INDEX(BOM!$G$2:$G$110,MATCH(57,BOM!$O$2:$O$110,0)))</f>
        <v>1</v>
      </c>
      <c r="D58" s="9" t="n">
        <f aca="false">IF($A58="","",INDEX(BOM!$H$2:$H$110,MATCH(57,BOM!$O$2:$O$110,0)))</f>
        <v>60</v>
      </c>
      <c r="E58" s="9" t="n">
        <f aca="false">IF($A58="","",INDEX(BOM!$I$2:$I$110,MATCH(57,BOM!$O$2:$O$110,0)))</f>
        <v>60</v>
      </c>
      <c r="F58" s="0" t="str">
        <f aca="false">IF($A58="","",IF(INDEX(BOM!$K$2:$K$110,MATCH(57,BOM!$O$2:$O$110,0))="","",HYPERLINK(INDEX(BOM!$K$2:$K$110,MATCH(57,BOM!$O$2:$O$110,0)),"open on amazon.ca")))</f>
        <v/>
      </c>
      <c r="G58" s="0" t="str">
        <f aca="false">IF($A58="","",HYPERLINK(INDEX(BOM!$L$2:$L$110,MATCH(57,BOM!$O$2:$O$110,0)),"search"))</f>
        <v>search</v>
      </c>
    </row>
    <row r="59" customFormat="false" ht="15" hidden="false" customHeight="false" outlineLevel="0" collapsed="false">
      <c r="A59" s="0" t="n">
        <f aca="false">IF(ISNA(MATCH(58,BOM!$O$2:$O$110,0)),"",58)</f>
        <v>58</v>
      </c>
      <c r="B59" s="0" t="str">
        <f aca="false">IF($A59="","",INDEX(BOM!$B$2:$B$110,MATCH(58,BOM!$O$2:$O$110,0)))</f>
        <v>Spring-loaded steel pawl (barrel bolt / gate latch)</v>
      </c>
      <c r="C59" s="0" t="n">
        <f aca="false">IF($A59="","",INDEX(BOM!$G$2:$G$110,MATCH(58,BOM!$O$2:$O$110,0)))</f>
        <v>2</v>
      </c>
      <c r="D59" s="9" t="n">
        <f aca="false">IF($A59="","",INDEX(BOM!$H$2:$H$110,MATCH(58,BOM!$O$2:$O$110,0)))</f>
        <v>16.99</v>
      </c>
      <c r="E59" s="9" t="n">
        <f aca="false">IF($A59="","",INDEX(BOM!$I$2:$I$110,MATCH(58,BOM!$O$2:$O$110,0)))</f>
        <v>33.98</v>
      </c>
      <c r="F59" s="0" t="str">
        <f aca="false">IF($A59="","",IF(INDEX(BOM!$K$2:$K$110,MATCH(58,BOM!$O$2:$O$110,0))="","",HYPERLINK(INDEX(BOM!$K$2:$K$110,MATCH(58,BOM!$O$2:$O$110,0)),"open on amazon.ca")))</f>
        <v>open on amazon.ca</v>
      </c>
      <c r="G59" s="0" t="str">
        <f aca="false">IF($A59="","",HYPERLINK(INDEX(BOM!$L$2:$L$110,MATCH(58,BOM!$O$2:$O$110,0)),"search"))</f>
        <v>search</v>
      </c>
    </row>
    <row r="60" customFormat="false" ht="15" hidden="false" customHeight="false" outlineLevel="0" collapsed="false">
      <c r="A60" s="0" t="n">
        <f aca="false">IF(ISNA(MATCH(59,BOM!$O$2:$O$110,0)),"",59)</f>
        <v>59</v>
      </c>
      <c r="B60" s="0" t="str">
        <f aca="false">IF($A60="","",INDEX(BOM!$B$2:$B$110,MATCH(59,BOM!$O$2:$O$110,0)))</f>
        <v>Bowden cables + levers (bike brake lever set)</v>
      </c>
      <c r="C60" s="0" t="n">
        <f aca="false">IF($A60="","",INDEX(BOM!$G$2:$G$110,MATCH(59,BOM!$O$2:$O$110,0)))</f>
        <v>1</v>
      </c>
      <c r="D60" s="9" t="n">
        <f aca="false">IF($A60="","",INDEX(BOM!$H$2:$H$110,MATCH(59,BOM!$O$2:$O$110,0)))</f>
        <v>23.99</v>
      </c>
      <c r="E60" s="9" t="n">
        <f aca="false">IF($A60="","",INDEX(BOM!$I$2:$I$110,MATCH(59,BOM!$O$2:$O$110,0)))</f>
        <v>23.99</v>
      </c>
      <c r="F60" s="0" t="str">
        <f aca="false">IF($A60="","",IF(INDEX(BOM!$K$2:$K$110,MATCH(59,BOM!$O$2:$O$110,0))="","",HYPERLINK(INDEX(BOM!$K$2:$K$110,MATCH(59,BOM!$O$2:$O$110,0)),"open on amazon.ca")))</f>
        <v>open on amazon.ca</v>
      </c>
      <c r="G60" s="0" t="str">
        <f aca="false">IF($A60="","",HYPERLINK(INDEX(BOM!$L$2:$L$110,MATCH(59,BOM!$O$2:$O$110,0)),"search"))</f>
        <v>search</v>
      </c>
    </row>
    <row r="61" customFormat="false" ht="15" hidden="false" customHeight="false" outlineLevel="0" collapsed="false">
      <c r="A61" s="0" t="n">
        <f aca="false">IF(ISNA(MATCH(60,BOM!$O$2:$O$110,0)),"",60)</f>
        <v>60</v>
      </c>
      <c r="B61" s="0" t="str">
        <f aca="false">IF($A61="","",INDEX(BOM!$B$2:$B$110,MATCH(60,BOM!$O$2:$O$110,0)))</f>
        <v>Rubber bumper / stop pads with screws (assorted)</v>
      </c>
      <c r="C61" s="0" t="n">
        <f aca="false">IF($A61="","",INDEX(BOM!$G$2:$G$110,MATCH(60,BOM!$O$2:$O$110,0)))</f>
        <v>1</v>
      </c>
      <c r="D61" s="9" t="n">
        <f aca="false">IF($A61="","",INDEX(BOM!$H$2:$H$110,MATCH(60,BOM!$O$2:$O$110,0)))</f>
        <v>17.99</v>
      </c>
      <c r="E61" s="9" t="n">
        <f aca="false">IF($A61="","",INDEX(BOM!$I$2:$I$110,MATCH(60,BOM!$O$2:$O$110,0)))</f>
        <v>17.99</v>
      </c>
      <c r="F61" s="0" t="str">
        <f aca="false">IF($A61="","",IF(INDEX(BOM!$K$2:$K$110,MATCH(60,BOM!$O$2:$O$110,0))="","",HYPERLINK(INDEX(BOM!$K$2:$K$110,MATCH(60,BOM!$O$2:$O$110,0)),"open on amazon.ca")))</f>
        <v>open on amazon.ca</v>
      </c>
      <c r="G61" s="0" t="str">
        <f aca="false">IF($A61="","",HYPERLINK(INDEX(BOM!$L$2:$L$110,MATCH(60,BOM!$O$2:$O$110,0)),"search"))</f>
        <v>search</v>
      </c>
    </row>
    <row r="62" customFormat="false" ht="15" hidden="false" customHeight="false" outlineLevel="0" collapsed="false">
      <c r="A62" s="0" t="n">
        <f aca="false">IF(ISNA(MATCH(61,BOM!$O$2:$O$110,0)),"",61)</f>
        <v>61</v>
      </c>
      <c r="B62" s="0" t="str">
        <f aca="false">IF($A62="","",INDEX(BOM!$B$2:$B$110,MATCH(61,BOM!$O$2:$O$110,0)))</f>
        <v>12 V 20 A (240 W) enclosed power supply</v>
      </c>
      <c r="C62" s="0" t="n">
        <f aca="false">IF($A62="","",INDEX(BOM!$G$2:$G$110,MATCH(61,BOM!$O$2:$O$110,0)))</f>
        <v>1</v>
      </c>
      <c r="D62" s="9" t="n">
        <f aca="false">IF($A62="","",INDEX(BOM!$H$2:$H$110,MATCH(61,BOM!$O$2:$O$110,0)))</f>
        <v>33.99</v>
      </c>
      <c r="E62" s="9" t="n">
        <f aca="false">IF($A62="","",INDEX(BOM!$I$2:$I$110,MATCH(61,BOM!$O$2:$O$110,0)))</f>
        <v>33.99</v>
      </c>
      <c r="F62" s="0" t="str">
        <f aca="false">IF($A62="","",IF(INDEX(BOM!$K$2:$K$110,MATCH(61,BOM!$O$2:$O$110,0))="","",HYPERLINK(INDEX(BOM!$K$2:$K$110,MATCH(61,BOM!$O$2:$O$110,0)),"open on amazon.ca")))</f>
        <v>open on amazon.ca</v>
      </c>
      <c r="G62" s="0" t="str">
        <f aca="false">IF($A62="","",HYPERLINK(INDEX(BOM!$L$2:$L$110,MATCH(61,BOM!$O$2:$O$110,0)),"search"))</f>
        <v>search</v>
      </c>
    </row>
    <row r="63" customFormat="false" ht="15" hidden="false" customHeight="false" outlineLevel="0" collapsed="false">
      <c r="A63" s="0" t="n">
        <f aca="false">IF(ISNA(MATCH(62,BOM!$O$2:$O$110,0)),"",62)</f>
        <v>62</v>
      </c>
      <c r="B63" s="0" t="str">
        <f aca="false">IF($A63="","",INDEX(BOM!$B$2:$B$110,MATCH(62,BOM!$O$2:$O$110,0)))</f>
        <v>Inline ATC fuse holder 12 AWG with 20/30/40 A fuses</v>
      </c>
      <c r="C63" s="0" t="n">
        <f aca="false">IF($A63="","",INDEX(BOM!$G$2:$G$110,MATCH(62,BOM!$O$2:$O$110,0)))</f>
        <v>1</v>
      </c>
      <c r="D63" s="9" t="n">
        <f aca="false">IF($A63="","",INDEX(BOM!$H$2:$H$110,MATCH(62,BOM!$O$2:$O$110,0)))</f>
        <v>18.99</v>
      </c>
      <c r="E63" s="9" t="n">
        <f aca="false">IF($A63="","",INDEX(BOM!$I$2:$I$110,MATCH(62,BOM!$O$2:$O$110,0)))</f>
        <v>18.99</v>
      </c>
      <c r="F63" s="0" t="str">
        <f aca="false">IF($A63="","",IF(INDEX(BOM!$K$2:$K$110,MATCH(62,BOM!$O$2:$O$110,0))="","",HYPERLINK(INDEX(BOM!$K$2:$K$110,MATCH(62,BOM!$O$2:$O$110,0)),"open on amazon.ca")))</f>
        <v>open on amazon.ca</v>
      </c>
      <c r="G63" s="0" t="str">
        <f aca="false">IF($A63="","",HYPERLINK(INDEX(BOM!$L$2:$L$110,MATCH(62,BOM!$O$2:$O$110,0)),"search"))</f>
        <v>search</v>
      </c>
    </row>
    <row r="64" customFormat="false" ht="15" hidden="false" customHeight="false" outlineLevel="0" collapsed="false">
      <c r="A64" s="0" t="n">
        <f aca="false">IF(ISNA(MATCH(63,BOM!$O$2:$O$110,0)),"",63)</f>
        <v>63</v>
      </c>
      <c r="B64" s="0" t="str">
        <f aca="false">IF($A64="","",INDEX(BOM!$B$2:$B$110,MATCH(63,BOM!$O$2:$O$110,0)))</f>
        <v>19 mm key switch, 2 position (MOTION key) - drives a 30 A relay</v>
      </c>
      <c r="C64" s="0" t="n">
        <f aca="false">IF($A64="","",INDEX(BOM!$G$2:$G$110,MATCH(63,BOM!$O$2:$O$110,0)))</f>
        <v>1</v>
      </c>
      <c r="D64" s="9" t="n">
        <f aca="false">IF($A64="","",INDEX(BOM!$H$2:$H$110,MATCH(63,BOM!$O$2:$O$110,0)))</f>
        <v>26.11</v>
      </c>
      <c r="E64" s="9" t="n">
        <f aca="false">IF($A64="","",INDEX(BOM!$I$2:$I$110,MATCH(63,BOM!$O$2:$O$110,0)))</f>
        <v>26.11</v>
      </c>
      <c r="F64" s="0" t="str">
        <f aca="false">IF($A64="","",IF(INDEX(BOM!$K$2:$K$110,MATCH(63,BOM!$O$2:$O$110,0))="","",HYPERLINK(INDEX(BOM!$K$2:$K$110,MATCH(63,BOM!$O$2:$O$110,0)),"open on amazon.ca")))</f>
        <v>open on amazon.ca</v>
      </c>
      <c r="G64" s="0" t="str">
        <f aca="false">IF($A64="","",HYPERLINK(INDEX(BOM!$L$2:$L$110,MATCH(63,BOM!$O$2:$O$110,0)),"search"))</f>
        <v>search</v>
      </c>
    </row>
    <row r="65" customFormat="false" ht="15" hidden="false" customHeight="false" outlineLevel="0" collapsed="false">
      <c r="A65" s="0" t="n">
        <f aca="false">IF(ISNA(MATCH(64,BOM!$O$2:$O$110,0)),"",64)</f>
        <v>64</v>
      </c>
      <c r="B65" s="0" t="str">
        <f aca="false">IF($A65="","",INDEX(BOM!$B$2:$B$110,MATCH(64,BOM!$O$2:$O$110,0)))</f>
        <v>22 mm mushroom E-stop, NC, latching, twist release</v>
      </c>
      <c r="C65" s="0" t="n">
        <f aca="false">IF($A65="","",INDEX(BOM!$G$2:$G$110,MATCH(64,BOM!$O$2:$O$110,0)))</f>
        <v>1</v>
      </c>
      <c r="D65" s="9" t="n">
        <f aca="false">IF($A65="","",INDEX(BOM!$H$2:$H$110,MATCH(64,BOM!$O$2:$O$110,0)))</f>
        <v>16.24</v>
      </c>
      <c r="E65" s="9" t="n">
        <f aca="false">IF($A65="","",INDEX(BOM!$I$2:$I$110,MATCH(64,BOM!$O$2:$O$110,0)))</f>
        <v>16.24</v>
      </c>
      <c r="F65" s="0" t="str">
        <f aca="false">IF($A65="","",IF(INDEX(BOM!$K$2:$K$110,MATCH(64,BOM!$O$2:$O$110,0))="","",HYPERLINK(INDEX(BOM!$K$2:$K$110,MATCH(64,BOM!$O$2:$O$110,0)),"open on amazon.ca")))</f>
        <v>open on amazon.ca</v>
      </c>
      <c r="G65" s="0" t="str">
        <f aca="false">IF($A65="","",HYPERLINK(INDEX(BOM!$L$2:$L$110,MATCH(64,BOM!$O$2:$O$110,0)),"search"))</f>
        <v>search</v>
      </c>
    </row>
    <row r="66" customFormat="false" ht="15" hidden="false" customHeight="false" outlineLevel="0" collapsed="false">
      <c r="A66" s="0" t="n">
        <f aca="false">IF(ISNA(MATCH(65,BOM!$O$2:$O$110,0)),"",65)</f>
        <v>65</v>
      </c>
      <c r="B66" s="0" t="str">
        <f aca="false">IF($A66="","",INDEX(BOM!$B$2:$B$110,MATCH(65,BOM!$O$2:$O$110,0)))</f>
        <v>DPDT (ON)-OFF-(ON) momentary toggle, 12 mm bushing</v>
      </c>
      <c r="C66" s="0" t="n">
        <f aca="false">IF($A66="","",INDEX(BOM!$G$2:$G$110,MATCH(65,BOM!$O$2:$O$110,0)))</f>
        <v>1</v>
      </c>
      <c r="D66" s="9" t="n">
        <f aca="false">IF($A66="","",INDEX(BOM!$H$2:$H$110,MATCH(65,BOM!$O$2:$O$110,0)))</f>
        <v>13.98</v>
      </c>
      <c r="E66" s="9" t="n">
        <f aca="false">IF($A66="","",INDEX(BOM!$I$2:$I$110,MATCH(65,BOM!$O$2:$O$110,0)))</f>
        <v>13.98</v>
      </c>
      <c r="F66" s="0" t="str">
        <f aca="false">IF($A66="","",IF(INDEX(BOM!$K$2:$K$110,MATCH(65,BOM!$O$2:$O$110,0))="","",HYPERLINK(INDEX(BOM!$K$2:$K$110,MATCH(65,BOM!$O$2:$O$110,0)),"open on amazon.ca")))</f>
        <v>open on amazon.ca</v>
      </c>
      <c r="G66" s="0" t="str">
        <f aca="false">IF($A66="","",HYPERLINK(INDEX(BOM!$L$2:$L$110,MATCH(65,BOM!$O$2:$O$110,0)),"search"))</f>
        <v>search</v>
      </c>
    </row>
    <row r="67" customFormat="false" ht="15" hidden="false" customHeight="false" outlineLevel="0" collapsed="false">
      <c r="A67" s="0" t="n">
        <f aca="false">IF(ISNA(MATCH(66,BOM!$O$2:$O$110,0)),"",66)</f>
        <v>66</v>
      </c>
      <c r="B67" s="0" t="str">
        <f aca="false">IF($A67="","",INDEX(BOM!$B$2:$B$110,MATCH(66,BOM!$O$2:$O$110,0)))</f>
        <v>12 V 30/40 A automotive relays SPDT 5-pin, 10 pcs</v>
      </c>
      <c r="C67" s="0" t="n">
        <f aca="false">IF($A67="","",INDEX(BOM!$G$2:$G$110,MATCH(66,BOM!$O$2:$O$110,0)))</f>
        <v>1</v>
      </c>
      <c r="D67" s="9" t="n">
        <f aca="false">IF($A67="","",INDEX(BOM!$H$2:$H$110,MATCH(66,BOM!$O$2:$O$110,0)))</f>
        <v>22.99</v>
      </c>
      <c r="E67" s="9" t="n">
        <f aca="false">IF($A67="","",INDEX(BOM!$I$2:$I$110,MATCH(66,BOM!$O$2:$O$110,0)))</f>
        <v>22.99</v>
      </c>
      <c r="F67" s="0" t="str">
        <f aca="false">IF($A67="","",IF(INDEX(BOM!$K$2:$K$110,MATCH(66,BOM!$O$2:$O$110,0))="","",HYPERLINK(INDEX(BOM!$K$2:$K$110,MATCH(66,BOM!$O$2:$O$110,0)),"open on amazon.ca")))</f>
        <v>open on amazon.ca</v>
      </c>
      <c r="G67" s="0" t="str">
        <f aca="false">IF($A67="","",HYPERLINK(INDEX(BOM!$L$2:$L$110,MATCH(66,BOM!$O$2:$O$110,0)),"search"))</f>
        <v>search</v>
      </c>
    </row>
    <row r="68" customFormat="false" ht="15" hidden="false" customHeight="false" outlineLevel="0" collapsed="false">
      <c r="A68" s="0" t="n">
        <f aca="false">IF(ISNA(MATCH(67,BOM!$O$2:$O$110,0)),"",67)</f>
        <v>67</v>
      </c>
      <c r="B68" s="0" t="str">
        <f aca="false">IF($A68="","",INDEX(BOM!$B$2:$B$110,MATCH(67,BOM!$O$2:$O$110,0)))</f>
        <v>V-15 roller-lever micro switches 15 A, 10 pcs</v>
      </c>
      <c r="C68" s="0" t="n">
        <f aca="false">IF($A68="","",INDEX(BOM!$G$2:$G$110,MATCH(67,BOM!$O$2:$O$110,0)))</f>
        <v>2</v>
      </c>
      <c r="D68" s="9" t="n">
        <f aca="false">IF($A68="","",INDEX(BOM!$H$2:$H$110,MATCH(67,BOM!$O$2:$O$110,0)))</f>
        <v>16.69</v>
      </c>
      <c r="E68" s="9" t="n">
        <f aca="false">IF($A68="","",INDEX(BOM!$I$2:$I$110,MATCH(67,BOM!$O$2:$O$110,0)))</f>
        <v>33.38</v>
      </c>
      <c r="F68" s="0" t="str">
        <f aca="false">IF($A68="","",IF(INDEX(BOM!$K$2:$K$110,MATCH(67,BOM!$O$2:$O$110,0))="","",HYPERLINK(INDEX(BOM!$K$2:$K$110,MATCH(67,BOM!$O$2:$O$110,0)),"open on amazon.ca")))</f>
        <v>open on amazon.ca</v>
      </c>
      <c r="G68" s="0" t="str">
        <f aca="false">IF($A68="","",HYPERLINK(INDEX(BOM!$L$2:$L$110,MATCH(67,BOM!$O$2:$O$110,0)),"search"))</f>
        <v>search</v>
      </c>
    </row>
    <row r="69" customFormat="false" ht="15" hidden="false" customHeight="false" outlineLevel="0" collapsed="false">
      <c r="A69" s="0" t="n">
        <f aca="false">IF(ISNA(MATCH(68,BOM!$O$2:$O$110,0)),"",68)</f>
        <v>68</v>
      </c>
      <c r="B69" s="0" t="str">
        <f aca="false">IF($A69="","",INDEX(BOM!$B$2:$B$110,MATCH(68,BOM!$O$2:$O$110,0)))</f>
        <v>6A10 rectifier diodes (6 A, 1000 V), 20 pcs</v>
      </c>
      <c r="C69" s="0" t="n">
        <f aca="false">IF($A69="","",INDEX(BOM!$G$2:$G$110,MATCH(68,BOM!$O$2:$O$110,0)))</f>
        <v>1</v>
      </c>
      <c r="D69" s="9" t="n">
        <f aca="false">IF($A69="","",INDEX(BOM!$H$2:$H$110,MATCH(68,BOM!$O$2:$O$110,0)))</f>
        <v>8.99</v>
      </c>
      <c r="E69" s="9" t="n">
        <f aca="false">IF($A69="","",INDEX(BOM!$I$2:$I$110,MATCH(68,BOM!$O$2:$O$110,0)))</f>
        <v>8.99</v>
      </c>
      <c r="F69" s="0" t="str">
        <f aca="false">IF($A69="","",IF(INDEX(BOM!$K$2:$K$110,MATCH(68,BOM!$O$2:$O$110,0))="","",HYPERLINK(INDEX(BOM!$K$2:$K$110,MATCH(68,BOM!$O$2:$O$110,0)),"open on amazon.ca")))</f>
        <v>open on amazon.ca</v>
      </c>
      <c r="G69" s="0" t="str">
        <f aca="false">IF($A69="","",HYPERLINK(INDEX(BOM!$L$2:$L$110,MATCH(68,BOM!$O$2:$O$110,0)),"search"))</f>
        <v>search</v>
      </c>
    </row>
    <row r="70" customFormat="false" ht="15" hidden="false" customHeight="false" outlineLevel="0" collapsed="false">
      <c r="A70" s="0" t="n">
        <f aca="false">IF(ISNA(MATCH(69,BOM!$O$2:$O$110,0)),"",69)</f>
        <v>69</v>
      </c>
      <c r="B70" s="0" t="str">
        <f aca="false">IF($A70="","",INDEX(BOM!$B$2:$B$110,MATCH(69,BOM!$O$2:$O$110,0)))</f>
        <v>14 AWG red/black 2-conductor wire, 15 m (50 ft)</v>
      </c>
      <c r="C70" s="0" t="n">
        <f aca="false">IF($A70="","",INDEX(BOM!$G$2:$G$110,MATCH(69,BOM!$O$2:$O$110,0)))</f>
        <v>2</v>
      </c>
      <c r="D70" s="9" t="n">
        <f aca="false">IF($A70="","",INDEX(BOM!$H$2:$H$110,MATCH(69,BOM!$O$2:$O$110,0)))</f>
        <v>17.09</v>
      </c>
      <c r="E70" s="9" t="n">
        <f aca="false">IF($A70="","",INDEX(BOM!$I$2:$I$110,MATCH(69,BOM!$O$2:$O$110,0)))</f>
        <v>34.18</v>
      </c>
      <c r="F70" s="0" t="str">
        <f aca="false">IF($A70="","",IF(INDEX(BOM!$K$2:$K$110,MATCH(69,BOM!$O$2:$O$110,0))="","",HYPERLINK(INDEX(BOM!$K$2:$K$110,MATCH(69,BOM!$O$2:$O$110,0)),"open on amazon.ca")))</f>
        <v>open on amazon.ca</v>
      </c>
      <c r="G70" s="0" t="str">
        <f aca="false">IF($A70="","",HYPERLINK(INDEX(BOM!$L$2:$L$110,MATCH(69,BOM!$O$2:$O$110,0)),"search"))</f>
        <v>search</v>
      </c>
    </row>
    <row r="71" customFormat="false" ht="15" hidden="false" customHeight="false" outlineLevel="0" collapsed="false">
      <c r="A71" s="0" t="n">
        <f aca="false">IF(ISNA(MATCH(70,BOM!$O$2:$O$110,0)),"",70)</f>
        <v>70</v>
      </c>
      <c r="B71" s="0" t="str">
        <f aca="false">IF($A71="","",INDEX(BOM!$B$2:$B$110,MATCH(70,BOM!$O$2:$O$110,0)))</f>
        <v>Heat-shrink ring terminal kit, 260 pcs (22-10 AWG)</v>
      </c>
      <c r="C71" s="0" t="n">
        <f aca="false">IF($A71="","",INDEX(BOM!$G$2:$G$110,MATCH(70,BOM!$O$2:$O$110,0)))</f>
        <v>1</v>
      </c>
      <c r="D71" s="9" t="n">
        <f aca="false">IF($A71="","",INDEX(BOM!$H$2:$H$110,MATCH(70,BOM!$O$2:$O$110,0)))</f>
        <v>29.99</v>
      </c>
      <c r="E71" s="9" t="n">
        <f aca="false">IF($A71="","",INDEX(BOM!$I$2:$I$110,MATCH(70,BOM!$O$2:$O$110,0)))</f>
        <v>29.99</v>
      </c>
      <c r="F71" s="0" t="str">
        <f aca="false">IF($A71="","",IF(INDEX(BOM!$K$2:$K$110,MATCH(70,BOM!$O$2:$O$110,0))="","",HYPERLINK(INDEX(BOM!$K$2:$K$110,MATCH(70,BOM!$O$2:$O$110,0)),"open on amazon.ca")))</f>
        <v>open on amazon.ca</v>
      </c>
      <c r="G71" s="0" t="str">
        <f aca="false">IF($A71="","",HYPERLINK(INDEX(BOM!$L$2:$L$110,MATCH(70,BOM!$O$2:$O$110,0)),"search"))</f>
        <v>search</v>
      </c>
    </row>
    <row r="72" customFormat="false" ht="15" hidden="false" customHeight="false" outlineLevel="0" collapsed="false">
      <c r="A72" s="0" t="n">
        <f aca="false">IF(ISNA(MATCH(71,BOM!$O$2:$O$110,0)),"",71)</f>
        <v>71</v>
      </c>
      <c r="B72" s="0" t="str">
        <f aca="false">IF($A72="","",INDEX(BOM!$B$2:$B$110,MATCH(71,BOM!$O$2:$O$110,0)))</f>
        <v>Strip brush 25 mm in aluminium holder, ~5 m</v>
      </c>
      <c r="C72" s="0" t="n">
        <f aca="false">IF($A72="","",INDEX(BOM!$G$2:$G$110,MATCH(71,BOM!$O$2:$O$110,0)))</f>
        <v>1</v>
      </c>
      <c r="D72" s="9" t="n">
        <f aca="false">IF($A72="","",INDEX(BOM!$H$2:$H$110,MATCH(71,BOM!$O$2:$O$110,0)))</f>
        <v>60</v>
      </c>
      <c r="E72" s="9" t="n">
        <f aca="false">IF($A72="","",INDEX(BOM!$I$2:$I$110,MATCH(71,BOM!$O$2:$O$110,0)))</f>
        <v>60</v>
      </c>
      <c r="F72" s="0" t="str">
        <f aca="false">IF($A72="","",IF(INDEX(BOM!$K$2:$K$110,MATCH(71,BOM!$O$2:$O$110,0))="","",HYPERLINK(INDEX(BOM!$K$2:$K$110,MATCH(71,BOM!$O$2:$O$110,0)),"open on amazon.ca")))</f>
        <v/>
      </c>
      <c r="G72" s="0" t="str">
        <f aca="false">IF($A72="","",HYPERLINK(INDEX(BOM!$L$2:$L$110,MATCH(71,BOM!$O$2:$O$110,0)),"search"))</f>
        <v>search</v>
      </c>
    </row>
    <row r="73" customFormat="false" ht="15" hidden="false" customHeight="false" outlineLevel="0" collapsed="false">
      <c r="A73" s="0" t="n">
        <f aca="false">IF(ISNA(MATCH(72,BOM!$O$2:$O$110,0)),"",72)</f>
        <v>72</v>
      </c>
      <c r="B73" s="0" t="str">
        <f aca="false">IF($A73="","",INDEX(BOM!$B$2:$B$110,MATCH(72,BOM!$O$2:$O$110,0)))</f>
        <v>High-density foam 25 mm (1") x 610 x 1830 mm</v>
      </c>
      <c r="C73" s="0" t="n">
        <f aca="false">IF($A73="","",INDEX(BOM!$G$2:$G$110,MATCH(72,BOM!$O$2:$O$110,0)))</f>
        <v>1</v>
      </c>
      <c r="D73" s="9" t="n">
        <f aca="false">IF($A73="","",INDEX(BOM!$H$2:$H$110,MATCH(72,BOM!$O$2:$O$110,0)))</f>
        <v>32.15</v>
      </c>
      <c r="E73" s="9" t="n">
        <f aca="false">IF($A73="","",INDEX(BOM!$I$2:$I$110,MATCH(72,BOM!$O$2:$O$110,0)))</f>
        <v>32.15</v>
      </c>
      <c r="F73" s="0" t="str">
        <f aca="false">IF($A73="","",IF(INDEX(BOM!$K$2:$K$110,MATCH(72,BOM!$O$2:$O$110,0))="","",HYPERLINK(INDEX(BOM!$K$2:$K$110,MATCH(72,BOM!$O$2:$O$110,0)),"open on amazon.ca")))</f>
        <v>open on amazon.ca</v>
      </c>
      <c r="G73" s="0" t="str">
        <f aca="false">IF($A73="","",HYPERLINK(INDEX(BOM!$L$2:$L$110,MATCH(72,BOM!$O$2:$O$110,0)),"search"))</f>
        <v>search</v>
      </c>
    </row>
    <row r="74" customFormat="false" ht="15" hidden="false" customHeight="false" outlineLevel="0" collapsed="false">
      <c r="A74" s="0" t="n">
        <f aca="false">IF(ISNA(MATCH(73,BOM!$O$2:$O$110,0)),"",73)</f>
        <v>73</v>
      </c>
      <c r="B74" s="0" t="str">
        <f aca="false">IF($A74="","",INDEX(BOM!$B$2:$B$110,MATCH(73,BOM!$O$2:$O$110,0)))</f>
        <v>Buckle kit: 25 mm side-release buckles + 9 m webbing (REDAPRIC)</v>
      </c>
      <c r="C74" s="0" t="n">
        <f aca="false">IF($A74="","",INDEX(BOM!$G$2:$G$110,MATCH(73,BOM!$O$2:$O$110,0)))</f>
        <v>1</v>
      </c>
      <c r="D74" s="9" t="n">
        <f aca="false">IF($A74="","",INDEX(BOM!$H$2:$H$110,MATCH(73,BOM!$O$2:$O$110,0)))</f>
        <v>13</v>
      </c>
      <c r="E74" s="9" t="n">
        <f aca="false">IF($A74="","",INDEX(BOM!$I$2:$I$110,MATCH(73,BOM!$O$2:$O$110,0)))</f>
        <v>13</v>
      </c>
      <c r="F74" s="0" t="str">
        <f aca="false">IF($A74="","",IF(INDEX(BOM!$K$2:$K$110,MATCH(73,BOM!$O$2:$O$110,0))="","",HYPERLINK(INDEX(BOM!$K$2:$K$110,MATCH(73,BOM!$O$2:$O$110,0)),"open on amazon.ca")))</f>
        <v>open on amazon.ca</v>
      </c>
      <c r="G74" s="0" t="str">
        <f aca="false">IF($A74="","",HYPERLINK(INDEX(BOM!$L$2:$L$110,MATCH(73,BOM!$O$2:$O$110,0)),"search"))</f>
        <v>search</v>
      </c>
    </row>
    <row r="75" customFormat="false" ht="15" hidden="false" customHeight="false" outlineLevel="0" collapsed="false">
      <c r="A75" s="0" t="n">
        <f aca="false">IF(ISNA(MATCH(74,BOM!$O$2:$O$110,0)),"",74)</f>
        <v>74</v>
      </c>
      <c r="B75" s="0" t="str">
        <f aca="false">IF($A75="","",INDEX(BOM!$B$2:$B$110,MATCH(74,BOM!$O$2:$O$110,0)))</f>
        <v>Rated 25 mm (1") webbing, &gt;= 700 kg</v>
      </c>
      <c r="C75" s="0" t="n">
        <f aca="false">IF($A75="","",INDEX(BOM!$G$2:$G$110,MATCH(74,BOM!$O$2:$O$110,0)))</f>
        <v>1</v>
      </c>
      <c r="D75" s="9" t="n">
        <f aca="false">IF($A75="","",INDEX(BOM!$H$2:$H$110,MATCH(74,BOM!$O$2:$O$110,0)))</f>
        <v>19.99</v>
      </c>
      <c r="E75" s="9" t="n">
        <f aca="false">IF($A75="","",INDEX(BOM!$I$2:$I$110,MATCH(74,BOM!$O$2:$O$110,0)))</f>
        <v>19.99</v>
      </c>
      <c r="F75" s="0" t="str">
        <f aca="false">IF($A75="","",IF(INDEX(BOM!$K$2:$K$110,MATCH(74,BOM!$O$2:$O$110,0))="","",HYPERLINK(INDEX(BOM!$K$2:$K$110,MATCH(74,BOM!$O$2:$O$110,0)),"open on amazon.ca")))</f>
        <v>open on amazon.ca</v>
      </c>
      <c r="G75" s="0" t="str">
        <f aca="false">IF($A75="","",HYPERLINK(INDEX(BOM!$L$2:$L$110,MATCH(74,BOM!$O$2:$O$110,0)),"search"))</f>
        <v>search</v>
      </c>
    </row>
    <row r="76" customFormat="false" ht="15" hidden="false" customHeight="false" outlineLevel="0" collapsed="false">
      <c r="A76" s="0" t="n">
        <f aca="false">IF(ISNA(MATCH(75,BOM!$O$2:$O$110,0)),"",75)</f>
        <v>75</v>
      </c>
      <c r="B76" s="0" t="str">
        <f aca="false">IF($A76="","",INDEX(BOM!$B$2:$B$110,MATCH(75,BOM!$O$2:$O$110,0)))</f>
        <v>Welded steel O-rings 50 mm (2") OD</v>
      </c>
      <c r="C76" s="0" t="n">
        <f aca="false">IF($A76="","",INDEX(BOM!$G$2:$G$110,MATCH(75,BOM!$O$2:$O$110,0)))</f>
        <v>1</v>
      </c>
      <c r="D76" s="9" t="n">
        <f aca="false">IF($A76="","",INDEX(BOM!$H$2:$H$110,MATCH(75,BOM!$O$2:$O$110,0)))</f>
        <v>15.99</v>
      </c>
      <c r="E76" s="9" t="n">
        <f aca="false">IF($A76="","",INDEX(BOM!$I$2:$I$110,MATCH(75,BOM!$O$2:$O$110,0)))</f>
        <v>15.99</v>
      </c>
      <c r="F76" s="0" t="str">
        <f aca="false">IF($A76="","",IF(INDEX(BOM!$K$2:$K$110,MATCH(75,BOM!$O$2:$O$110,0))="","",HYPERLINK(INDEX(BOM!$K$2:$K$110,MATCH(75,BOM!$O$2:$O$110,0)),"open on amazon.ca")))</f>
        <v>open on amazon.ca</v>
      </c>
      <c r="G76" s="0" t="str">
        <f aca="false">IF($A76="","",HYPERLINK(INDEX(BOM!$L$2:$L$110,MATCH(75,BOM!$O$2:$O$110,0)),"search"))</f>
        <v>search</v>
      </c>
    </row>
    <row r="77" customFormat="false" ht="15" hidden="false" customHeight="false" outlineLevel="0" collapsed="false">
      <c r="A77" s="0" t="n">
        <f aca="false">IF(ISNA(MATCH(76,BOM!$O$2:$O$110,0)),"",76)</f>
        <v>76</v>
      </c>
      <c r="B77" s="0" t="str">
        <f aca="false">IF($A77="","",INDEX(BOM!$B$2:$B$110,MATCH(76,BOM!$O$2:$O$110,0)))</f>
        <v>Welded steel D-rings 25 mm (1")</v>
      </c>
      <c r="C77" s="0" t="n">
        <f aca="false">IF($A77="","",INDEX(BOM!$G$2:$G$110,MATCH(76,BOM!$O$2:$O$110,0)))</f>
        <v>1</v>
      </c>
      <c r="D77" s="9" t="n">
        <f aca="false">IF($A77="","",INDEX(BOM!$H$2:$H$110,MATCH(76,BOM!$O$2:$O$110,0)))</f>
        <v>15.97</v>
      </c>
      <c r="E77" s="9" t="n">
        <f aca="false">IF($A77="","",INDEX(BOM!$I$2:$I$110,MATCH(76,BOM!$O$2:$O$110,0)))</f>
        <v>15.97</v>
      </c>
      <c r="F77" s="0" t="str">
        <f aca="false">IF($A77="","",IF(INDEX(BOM!$K$2:$K$110,MATCH(76,BOM!$O$2:$O$110,0))="","",HYPERLINK(INDEX(BOM!$K$2:$K$110,MATCH(76,BOM!$O$2:$O$110,0)),"open on amazon.ca")))</f>
        <v>open on amazon.ca</v>
      </c>
      <c r="G77" s="0" t="str">
        <f aca="false">IF($A77="","",HYPERLINK(INDEX(BOM!$L$2:$L$110,MATCH(76,BOM!$O$2:$O$110,0)),"search"))</f>
        <v>search</v>
      </c>
    </row>
    <row r="78" customFormat="false" ht="15" hidden="false" customHeight="false" outlineLevel="0" collapsed="false">
      <c r="A78" s="0" t="n">
        <f aca="false">IF(ISNA(MATCH(77,BOM!$O$2:$O$110,0)),"",77)</f>
        <v>77</v>
      </c>
      <c r="B78" s="0" t="str">
        <f aca="false">IF($A78="","",INDEX(BOM!$B$2:$B$110,MATCH(77,BOM!$O$2:$O$110,0)))</f>
        <v>2-point adjustable lap belt</v>
      </c>
      <c r="C78" s="0" t="n">
        <f aca="false">IF($A78="","",INDEX(BOM!$G$2:$G$110,MATCH(77,BOM!$O$2:$O$110,0)))</f>
        <v>1</v>
      </c>
      <c r="D78" s="9" t="n">
        <f aca="false">IF($A78="","",INDEX(BOM!$H$2:$H$110,MATCH(77,BOM!$O$2:$O$110,0)))</f>
        <v>24.99</v>
      </c>
      <c r="E78" s="9" t="n">
        <f aca="false">IF($A78="","",INDEX(BOM!$I$2:$I$110,MATCH(77,BOM!$O$2:$O$110,0)))</f>
        <v>24.99</v>
      </c>
      <c r="F78" s="0" t="str">
        <f aca="false">IF($A78="","",IF(INDEX(BOM!$K$2:$K$110,MATCH(77,BOM!$O$2:$O$110,0))="","",HYPERLINK(INDEX(BOM!$K$2:$K$110,MATCH(77,BOM!$O$2:$O$110,0)),"open on amazon.ca")))</f>
        <v>open on amazon.ca</v>
      </c>
      <c r="G78" s="0" t="str">
        <f aca="false">IF($A78="","",HYPERLINK(INDEX(BOM!$L$2:$L$110,MATCH(77,BOM!$O$2:$O$110,0)),"search"))</f>
        <v>search</v>
      </c>
    </row>
    <row r="79" customFormat="false" ht="15" hidden="false" customHeight="false" outlineLevel="0" collapsed="false">
      <c r="A79" s="0" t="n">
        <f aca="false">IF(ISNA(MATCH(78,BOM!$O$2:$O$110,0)),"",78)</f>
        <v>78</v>
      </c>
      <c r="B79" s="0" t="str">
        <f aca="false">IF($A79="","",INDEX(BOM!$B$2:$B$110,MATCH(78,BOM!$O$2:$O$110,0)))</f>
        <v>High-density upholstery foam 50 mm (2") x 610 x 1830 mm</v>
      </c>
      <c r="C79" s="0" t="n">
        <f aca="false">IF($A79="","",INDEX(BOM!$G$2:$G$110,MATCH(78,BOM!$O$2:$O$110,0)))</f>
        <v>1</v>
      </c>
      <c r="D79" s="9" t="n">
        <f aca="false">IF($A79="","",INDEX(BOM!$H$2:$H$110,MATCH(78,BOM!$O$2:$O$110,0)))</f>
        <v>54.54</v>
      </c>
      <c r="E79" s="9" t="n">
        <f aca="false">IF($A79="","",INDEX(BOM!$I$2:$I$110,MATCH(78,BOM!$O$2:$O$110,0)))</f>
        <v>54.54</v>
      </c>
      <c r="F79" s="0" t="str">
        <f aca="false">IF($A79="","",IF(INDEX(BOM!$K$2:$K$110,MATCH(78,BOM!$O$2:$O$110,0))="","",HYPERLINK(INDEX(BOM!$K$2:$K$110,MATCH(78,BOM!$O$2:$O$110,0)),"open on amazon.ca")))</f>
        <v>open on amazon.ca</v>
      </c>
      <c r="G79" s="0" t="str">
        <f aca="false">IF($A79="","",HYPERLINK(INDEX(BOM!$L$2:$L$110,MATCH(78,BOM!$O$2:$O$110,0)),"search"))</f>
        <v>search</v>
      </c>
    </row>
    <row r="80" customFormat="false" ht="15" hidden="false" customHeight="false" outlineLevel="0" collapsed="false">
      <c r="A80" s="0" t="n">
        <f aca="false">IF(ISNA(MATCH(79,BOM!$O$2:$O$110,0)),"",79)</f>
        <v>79</v>
      </c>
      <c r="B80" s="0" t="str">
        <f aca="false">IF($A80="","",INDEX(BOM!$B$2:$B$110,MATCH(79,BOM!$O$2:$O$110,0)))</f>
        <v>Marine vinyl, black, 1.5 m x 1.37 m (5 ft x 54")</v>
      </c>
      <c r="C80" s="0" t="n">
        <f aca="false">IF($A80="","",INDEX(BOM!$G$2:$G$110,MATCH(79,BOM!$O$2:$O$110,0)))</f>
        <v>1</v>
      </c>
      <c r="D80" s="9" t="n">
        <f aca="false">IF($A80="","",INDEX(BOM!$H$2:$H$110,MATCH(79,BOM!$O$2:$O$110,0)))</f>
        <v>43.69</v>
      </c>
      <c r="E80" s="9" t="n">
        <f aca="false">IF($A80="","",INDEX(BOM!$I$2:$I$110,MATCH(79,BOM!$O$2:$O$110,0)))</f>
        <v>43.69</v>
      </c>
      <c r="F80" s="0" t="str">
        <f aca="false">IF($A80="","",IF(INDEX(BOM!$K$2:$K$110,MATCH(79,BOM!$O$2:$O$110,0))="","",HYPERLINK(INDEX(BOM!$K$2:$K$110,MATCH(79,BOM!$O$2:$O$110,0)),"open on amazon.ca")))</f>
        <v>open on amazon.ca</v>
      </c>
      <c r="G80" s="0" t="str">
        <f aca="false">IF($A80="","",HYPERLINK(INDEX(BOM!$L$2:$L$110,MATCH(79,BOM!$O$2:$O$110,0)),"search"))</f>
        <v>search</v>
      </c>
    </row>
    <row r="81" customFormat="false" ht="15" hidden="false" customHeight="false" outlineLevel="0" collapsed="false">
      <c r="A81" s="0" t="str">
        <f aca="false">IF(ISNA(MATCH(80,BOM!$O$2:$O$110,0)),"",80)</f>
        <v/>
      </c>
      <c r="B81" s="0" t="str">
        <f aca="false">IF($A81="","",INDEX(BOM!$B$2:$B$110,MATCH(80,BOM!$O$2:$O$110,0)))</f>
        <v/>
      </c>
      <c r="C81" s="0" t="str">
        <f aca="false">IF($A81="","",INDEX(BOM!$G$2:$G$110,MATCH(80,BOM!$O$2:$O$110,0)))</f>
        <v/>
      </c>
      <c r="D81" s="9" t="str">
        <f aca="false">IF($A81="","",INDEX(BOM!$H$2:$H$110,MATCH(80,BOM!$O$2:$O$110,0)))</f>
        <v/>
      </c>
      <c r="E81" s="9" t="str">
        <f aca="false">IF($A81="","",INDEX(BOM!$I$2:$I$110,MATCH(80,BOM!$O$2:$O$110,0)))</f>
        <v/>
      </c>
      <c r="F81" s="0" t="str">
        <f aca="false">IF($A81="","",IF(INDEX(BOM!$K$2:$K$110,MATCH(80,BOM!$O$2:$O$110,0))="","",HYPERLINK(INDEX(BOM!$K$2:$K$110,MATCH(80,BOM!$O$2:$O$110,0)),"open on amazon.ca")))</f>
        <v/>
      </c>
      <c r="G81" s="0" t="str">
        <f aca="false">IF($A81="","",HYPERLINK(INDEX(BOM!$L$2:$L$110,MATCH(80,BOM!$O$2:$O$110,0)),"search"))</f>
        <v/>
      </c>
    </row>
    <row r="82" customFormat="false" ht="15" hidden="false" customHeight="false" outlineLevel="0" collapsed="false">
      <c r="A82" s="0" t="str">
        <f aca="false">IF(ISNA(MATCH(81,BOM!$O$2:$O$110,0)),"",81)</f>
        <v/>
      </c>
      <c r="B82" s="0" t="str">
        <f aca="false">IF($A82="","",INDEX(BOM!$B$2:$B$110,MATCH(81,BOM!$O$2:$O$110,0)))</f>
        <v/>
      </c>
      <c r="C82" s="0" t="str">
        <f aca="false">IF($A82="","",INDEX(BOM!$G$2:$G$110,MATCH(81,BOM!$O$2:$O$110,0)))</f>
        <v/>
      </c>
      <c r="D82" s="9" t="str">
        <f aca="false">IF($A82="","",INDEX(BOM!$H$2:$H$110,MATCH(81,BOM!$O$2:$O$110,0)))</f>
        <v/>
      </c>
      <c r="E82" s="9" t="str">
        <f aca="false">IF($A82="","",INDEX(BOM!$I$2:$I$110,MATCH(81,BOM!$O$2:$O$110,0)))</f>
        <v/>
      </c>
      <c r="F82" s="0" t="str">
        <f aca="false">IF($A82="","",IF(INDEX(BOM!$K$2:$K$110,MATCH(81,BOM!$O$2:$O$110,0))="","",HYPERLINK(INDEX(BOM!$K$2:$K$110,MATCH(81,BOM!$O$2:$O$110,0)),"open on amazon.ca")))</f>
        <v/>
      </c>
      <c r="G82" s="0" t="str">
        <f aca="false">IF($A82="","",HYPERLINK(INDEX(BOM!$L$2:$L$110,MATCH(81,BOM!$O$2:$O$110,0)),"search"))</f>
        <v/>
      </c>
    </row>
    <row r="83" customFormat="false" ht="15" hidden="false" customHeight="false" outlineLevel="0" collapsed="false">
      <c r="A83" s="0" t="str">
        <f aca="false">IF(ISNA(MATCH(82,BOM!$O$2:$O$110,0)),"",82)</f>
        <v/>
      </c>
      <c r="B83" s="0" t="str">
        <f aca="false">IF($A83="","",INDEX(BOM!$B$2:$B$110,MATCH(82,BOM!$O$2:$O$110,0)))</f>
        <v/>
      </c>
      <c r="C83" s="0" t="str">
        <f aca="false">IF($A83="","",INDEX(BOM!$G$2:$G$110,MATCH(82,BOM!$O$2:$O$110,0)))</f>
        <v/>
      </c>
      <c r="D83" s="9" t="str">
        <f aca="false">IF($A83="","",INDEX(BOM!$H$2:$H$110,MATCH(82,BOM!$O$2:$O$110,0)))</f>
        <v/>
      </c>
      <c r="E83" s="9" t="str">
        <f aca="false">IF($A83="","",INDEX(BOM!$I$2:$I$110,MATCH(82,BOM!$O$2:$O$110,0)))</f>
        <v/>
      </c>
      <c r="F83" s="0" t="str">
        <f aca="false">IF($A83="","",IF(INDEX(BOM!$K$2:$K$110,MATCH(82,BOM!$O$2:$O$110,0))="","",HYPERLINK(INDEX(BOM!$K$2:$K$110,MATCH(82,BOM!$O$2:$O$110,0)),"open on amazon.ca")))</f>
        <v/>
      </c>
      <c r="G83" s="0" t="str">
        <f aca="false">IF($A83="","",HYPERLINK(INDEX(BOM!$L$2:$L$110,MATCH(82,BOM!$O$2:$O$110,0)),"search"))</f>
        <v/>
      </c>
    </row>
    <row r="84" customFormat="false" ht="15" hidden="false" customHeight="false" outlineLevel="0" collapsed="false">
      <c r="A84" s="0" t="str">
        <f aca="false">IF(ISNA(MATCH(83,BOM!$O$2:$O$110,0)),"",83)</f>
        <v/>
      </c>
      <c r="B84" s="0" t="str">
        <f aca="false">IF($A84="","",INDEX(BOM!$B$2:$B$110,MATCH(83,BOM!$O$2:$O$110,0)))</f>
        <v/>
      </c>
      <c r="C84" s="0" t="str">
        <f aca="false">IF($A84="","",INDEX(BOM!$G$2:$G$110,MATCH(83,BOM!$O$2:$O$110,0)))</f>
        <v/>
      </c>
      <c r="D84" s="9" t="str">
        <f aca="false">IF($A84="","",INDEX(BOM!$H$2:$H$110,MATCH(83,BOM!$O$2:$O$110,0)))</f>
        <v/>
      </c>
      <c r="E84" s="9" t="str">
        <f aca="false">IF($A84="","",INDEX(BOM!$I$2:$I$110,MATCH(83,BOM!$O$2:$O$110,0)))</f>
        <v/>
      </c>
      <c r="F84" s="0" t="str">
        <f aca="false">IF($A84="","",IF(INDEX(BOM!$K$2:$K$110,MATCH(83,BOM!$O$2:$O$110,0))="","",HYPERLINK(INDEX(BOM!$K$2:$K$110,MATCH(83,BOM!$O$2:$O$110,0)),"open on amazon.ca")))</f>
        <v/>
      </c>
      <c r="G84" s="0" t="str">
        <f aca="false">IF($A84="","",HYPERLINK(INDEX(BOM!$L$2:$L$110,MATCH(83,BOM!$O$2:$O$110,0)),"search"))</f>
        <v/>
      </c>
    </row>
    <row r="85" customFormat="false" ht="15" hidden="false" customHeight="false" outlineLevel="0" collapsed="false">
      <c r="A85" s="0" t="str">
        <f aca="false">IF(ISNA(MATCH(84,BOM!$O$2:$O$110,0)),"",84)</f>
        <v/>
      </c>
      <c r="B85" s="0" t="str">
        <f aca="false">IF($A85="","",INDEX(BOM!$B$2:$B$110,MATCH(84,BOM!$O$2:$O$110,0)))</f>
        <v/>
      </c>
      <c r="C85" s="0" t="str">
        <f aca="false">IF($A85="","",INDEX(BOM!$G$2:$G$110,MATCH(84,BOM!$O$2:$O$110,0)))</f>
        <v/>
      </c>
      <c r="D85" s="9" t="str">
        <f aca="false">IF($A85="","",INDEX(BOM!$H$2:$H$110,MATCH(84,BOM!$O$2:$O$110,0)))</f>
        <v/>
      </c>
      <c r="E85" s="9" t="str">
        <f aca="false">IF($A85="","",INDEX(BOM!$I$2:$I$110,MATCH(84,BOM!$O$2:$O$110,0)))</f>
        <v/>
      </c>
      <c r="F85" s="0" t="str">
        <f aca="false">IF($A85="","",IF(INDEX(BOM!$K$2:$K$110,MATCH(84,BOM!$O$2:$O$110,0))="","",HYPERLINK(INDEX(BOM!$K$2:$K$110,MATCH(84,BOM!$O$2:$O$110,0)),"open on amazon.ca")))</f>
        <v/>
      </c>
      <c r="G85" s="0" t="str">
        <f aca="false">IF($A85="","",HYPERLINK(INDEX(BOM!$L$2:$L$110,MATCH(84,BOM!$O$2:$O$110,0)),"search"))</f>
        <v/>
      </c>
    </row>
    <row r="86" customFormat="false" ht="15" hidden="false" customHeight="false" outlineLevel="0" collapsed="false">
      <c r="A86" s="0" t="str">
        <f aca="false">IF(ISNA(MATCH(85,BOM!$O$2:$O$110,0)),"",85)</f>
        <v/>
      </c>
      <c r="B86" s="0" t="str">
        <f aca="false">IF($A86="","",INDEX(BOM!$B$2:$B$110,MATCH(85,BOM!$O$2:$O$110,0)))</f>
        <v/>
      </c>
      <c r="C86" s="0" t="str">
        <f aca="false">IF($A86="","",INDEX(BOM!$G$2:$G$110,MATCH(85,BOM!$O$2:$O$110,0)))</f>
        <v/>
      </c>
      <c r="D86" s="9" t="str">
        <f aca="false">IF($A86="","",INDEX(BOM!$H$2:$H$110,MATCH(85,BOM!$O$2:$O$110,0)))</f>
        <v/>
      </c>
      <c r="E86" s="9" t="str">
        <f aca="false">IF($A86="","",INDEX(BOM!$I$2:$I$110,MATCH(85,BOM!$O$2:$O$110,0)))</f>
        <v/>
      </c>
      <c r="F86" s="0" t="str">
        <f aca="false">IF($A86="","",IF(INDEX(BOM!$K$2:$K$110,MATCH(85,BOM!$O$2:$O$110,0))="","",HYPERLINK(INDEX(BOM!$K$2:$K$110,MATCH(85,BOM!$O$2:$O$110,0)),"open on amazon.ca")))</f>
        <v/>
      </c>
      <c r="G86" s="0" t="str">
        <f aca="false">IF($A86="","",HYPERLINK(INDEX(BOM!$L$2:$L$110,MATCH(85,BOM!$O$2:$O$110,0)),"search"))</f>
        <v/>
      </c>
    </row>
    <row r="87" customFormat="false" ht="15" hidden="false" customHeight="false" outlineLevel="0" collapsed="false">
      <c r="A87" s="0" t="str">
        <f aca="false">IF(ISNA(MATCH(86,BOM!$O$2:$O$110,0)),"",86)</f>
        <v/>
      </c>
      <c r="B87" s="0" t="str">
        <f aca="false">IF($A87="","",INDEX(BOM!$B$2:$B$110,MATCH(86,BOM!$O$2:$O$110,0)))</f>
        <v/>
      </c>
      <c r="C87" s="0" t="str">
        <f aca="false">IF($A87="","",INDEX(BOM!$G$2:$G$110,MATCH(86,BOM!$O$2:$O$110,0)))</f>
        <v/>
      </c>
      <c r="D87" s="9" t="str">
        <f aca="false">IF($A87="","",INDEX(BOM!$H$2:$H$110,MATCH(86,BOM!$O$2:$O$110,0)))</f>
        <v/>
      </c>
      <c r="E87" s="9" t="str">
        <f aca="false">IF($A87="","",INDEX(BOM!$I$2:$I$110,MATCH(86,BOM!$O$2:$O$110,0)))</f>
        <v/>
      </c>
      <c r="F87" s="0" t="str">
        <f aca="false">IF($A87="","",IF(INDEX(BOM!$K$2:$K$110,MATCH(86,BOM!$O$2:$O$110,0))="","",HYPERLINK(INDEX(BOM!$K$2:$K$110,MATCH(86,BOM!$O$2:$O$110,0)),"open on amazon.ca")))</f>
        <v/>
      </c>
      <c r="G87" s="0" t="str">
        <f aca="false">IF($A87="","",HYPERLINK(INDEX(BOM!$L$2:$L$110,MATCH(86,BOM!$O$2:$O$110,0)),"search"))</f>
        <v/>
      </c>
    </row>
    <row r="88" customFormat="false" ht="15" hidden="false" customHeight="false" outlineLevel="0" collapsed="false">
      <c r="A88" s="0" t="str">
        <f aca="false">IF(ISNA(MATCH(87,BOM!$O$2:$O$110,0)),"",87)</f>
        <v/>
      </c>
      <c r="B88" s="0" t="str">
        <f aca="false">IF($A88="","",INDEX(BOM!$B$2:$B$110,MATCH(87,BOM!$O$2:$O$110,0)))</f>
        <v/>
      </c>
      <c r="C88" s="0" t="str">
        <f aca="false">IF($A88="","",INDEX(BOM!$G$2:$G$110,MATCH(87,BOM!$O$2:$O$110,0)))</f>
        <v/>
      </c>
      <c r="D88" s="9" t="str">
        <f aca="false">IF($A88="","",INDEX(BOM!$H$2:$H$110,MATCH(87,BOM!$O$2:$O$110,0)))</f>
        <v/>
      </c>
      <c r="E88" s="9" t="str">
        <f aca="false">IF($A88="","",INDEX(BOM!$I$2:$I$110,MATCH(87,BOM!$O$2:$O$110,0)))</f>
        <v/>
      </c>
      <c r="F88" s="0" t="str">
        <f aca="false">IF($A88="","",IF(INDEX(BOM!$K$2:$K$110,MATCH(87,BOM!$O$2:$O$110,0))="","",HYPERLINK(INDEX(BOM!$K$2:$K$110,MATCH(87,BOM!$O$2:$O$110,0)),"open on amazon.ca")))</f>
        <v/>
      </c>
      <c r="G88" s="0" t="str">
        <f aca="false">IF($A88="","",HYPERLINK(INDEX(BOM!$L$2:$L$110,MATCH(87,BOM!$O$2:$O$110,0)),"search"))</f>
        <v/>
      </c>
    </row>
    <row r="89" customFormat="false" ht="15" hidden="false" customHeight="false" outlineLevel="0" collapsed="false">
      <c r="A89" s="0" t="str">
        <f aca="false">IF(ISNA(MATCH(88,BOM!$O$2:$O$110,0)),"",88)</f>
        <v/>
      </c>
      <c r="B89" s="0" t="str">
        <f aca="false">IF($A89="","",INDEX(BOM!$B$2:$B$110,MATCH(88,BOM!$O$2:$O$110,0)))</f>
        <v/>
      </c>
      <c r="C89" s="0" t="str">
        <f aca="false">IF($A89="","",INDEX(BOM!$G$2:$G$110,MATCH(88,BOM!$O$2:$O$110,0)))</f>
        <v/>
      </c>
      <c r="D89" s="9" t="str">
        <f aca="false">IF($A89="","",INDEX(BOM!$H$2:$H$110,MATCH(88,BOM!$O$2:$O$110,0)))</f>
        <v/>
      </c>
      <c r="E89" s="9" t="str">
        <f aca="false">IF($A89="","",INDEX(BOM!$I$2:$I$110,MATCH(88,BOM!$O$2:$O$110,0)))</f>
        <v/>
      </c>
      <c r="F89" s="0" t="str">
        <f aca="false">IF($A89="","",IF(INDEX(BOM!$K$2:$K$110,MATCH(88,BOM!$O$2:$O$110,0))="","",HYPERLINK(INDEX(BOM!$K$2:$K$110,MATCH(88,BOM!$O$2:$O$110,0)),"open on amazon.ca")))</f>
        <v/>
      </c>
      <c r="G89" s="0" t="str">
        <f aca="false">IF($A89="","",HYPERLINK(INDEX(BOM!$L$2:$L$110,MATCH(88,BOM!$O$2:$O$110,0)),"search"))</f>
        <v/>
      </c>
    </row>
    <row r="90" customFormat="false" ht="15" hidden="false" customHeight="false" outlineLevel="0" collapsed="false">
      <c r="A90" s="0" t="str">
        <f aca="false">IF(ISNA(MATCH(89,BOM!$O$2:$O$110,0)),"",89)</f>
        <v/>
      </c>
      <c r="B90" s="0" t="str">
        <f aca="false">IF($A90="","",INDEX(BOM!$B$2:$B$110,MATCH(89,BOM!$O$2:$O$110,0)))</f>
        <v/>
      </c>
      <c r="C90" s="0" t="str">
        <f aca="false">IF($A90="","",INDEX(BOM!$G$2:$G$110,MATCH(89,BOM!$O$2:$O$110,0)))</f>
        <v/>
      </c>
      <c r="D90" s="9" t="str">
        <f aca="false">IF($A90="","",INDEX(BOM!$H$2:$H$110,MATCH(89,BOM!$O$2:$O$110,0)))</f>
        <v/>
      </c>
      <c r="E90" s="9" t="str">
        <f aca="false">IF($A90="","",INDEX(BOM!$I$2:$I$110,MATCH(89,BOM!$O$2:$O$110,0)))</f>
        <v/>
      </c>
      <c r="F90" s="0" t="str">
        <f aca="false">IF($A90="","",IF(INDEX(BOM!$K$2:$K$110,MATCH(89,BOM!$O$2:$O$110,0))="","",HYPERLINK(INDEX(BOM!$K$2:$K$110,MATCH(89,BOM!$O$2:$O$110,0)),"open on amazon.ca")))</f>
        <v/>
      </c>
      <c r="G90" s="0" t="str">
        <f aca="false">IF($A90="","",HYPERLINK(INDEX(BOM!$L$2:$L$110,MATCH(89,BOM!$O$2:$O$110,0)),"search"))</f>
        <v/>
      </c>
    </row>
    <row r="91" customFormat="false" ht="15" hidden="false" customHeight="false" outlineLevel="0" collapsed="false">
      <c r="A91" s="0" t="str">
        <f aca="false">IF(ISNA(MATCH(90,BOM!$O$2:$O$110,0)),"",90)</f>
        <v/>
      </c>
      <c r="B91" s="0" t="str">
        <f aca="false">IF($A91="","",INDEX(BOM!$B$2:$B$110,MATCH(90,BOM!$O$2:$O$110,0)))</f>
        <v/>
      </c>
      <c r="C91" s="0" t="str">
        <f aca="false">IF($A91="","",INDEX(BOM!$G$2:$G$110,MATCH(90,BOM!$O$2:$O$110,0)))</f>
        <v/>
      </c>
      <c r="D91" s="9" t="str">
        <f aca="false">IF($A91="","",INDEX(BOM!$H$2:$H$110,MATCH(90,BOM!$O$2:$O$110,0)))</f>
        <v/>
      </c>
      <c r="E91" s="9" t="str">
        <f aca="false">IF($A91="","",INDEX(BOM!$I$2:$I$110,MATCH(90,BOM!$O$2:$O$110,0)))</f>
        <v/>
      </c>
      <c r="F91" s="0" t="str">
        <f aca="false">IF($A91="","",IF(INDEX(BOM!$K$2:$K$110,MATCH(90,BOM!$O$2:$O$110,0))="","",HYPERLINK(INDEX(BOM!$K$2:$K$110,MATCH(90,BOM!$O$2:$O$110,0)),"open on amazon.ca")))</f>
        <v/>
      </c>
      <c r="G91" s="0" t="str">
        <f aca="false">IF($A91="","",HYPERLINK(INDEX(BOM!$L$2:$L$110,MATCH(90,BOM!$O$2:$O$110,0)),"search"))</f>
        <v/>
      </c>
    </row>
    <row r="92" customFormat="false" ht="15" hidden="false" customHeight="false" outlineLevel="0" collapsed="false">
      <c r="A92" s="0" t="str">
        <f aca="false">IF(ISNA(MATCH(91,BOM!$O$2:$O$110,0)),"",91)</f>
        <v/>
      </c>
      <c r="B92" s="0" t="str">
        <f aca="false">IF($A92="","",INDEX(BOM!$B$2:$B$110,MATCH(91,BOM!$O$2:$O$110,0)))</f>
        <v/>
      </c>
      <c r="C92" s="0" t="str">
        <f aca="false">IF($A92="","",INDEX(BOM!$G$2:$G$110,MATCH(91,BOM!$O$2:$O$110,0)))</f>
        <v/>
      </c>
      <c r="D92" s="9" t="str">
        <f aca="false">IF($A92="","",INDEX(BOM!$H$2:$H$110,MATCH(91,BOM!$O$2:$O$110,0)))</f>
        <v/>
      </c>
      <c r="E92" s="9" t="str">
        <f aca="false">IF($A92="","",INDEX(BOM!$I$2:$I$110,MATCH(91,BOM!$O$2:$O$110,0)))</f>
        <v/>
      </c>
      <c r="F92" s="0" t="str">
        <f aca="false">IF($A92="","",IF(INDEX(BOM!$K$2:$K$110,MATCH(91,BOM!$O$2:$O$110,0))="","",HYPERLINK(INDEX(BOM!$K$2:$K$110,MATCH(91,BOM!$O$2:$O$110,0)),"open on amazon.ca")))</f>
        <v/>
      </c>
      <c r="G92" s="0" t="str">
        <f aca="false">IF($A92="","",HYPERLINK(INDEX(BOM!$L$2:$L$110,MATCH(91,BOM!$O$2:$O$110,0)),"search"))</f>
        <v/>
      </c>
    </row>
    <row r="93" customFormat="false" ht="15" hidden="false" customHeight="false" outlineLevel="0" collapsed="false">
      <c r="A93" s="0" t="str">
        <f aca="false">IF(ISNA(MATCH(92,BOM!$O$2:$O$110,0)),"",92)</f>
        <v/>
      </c>
      <c r="B93" s="0" t="str">
        <f aca="false">IF($A93="","",INDEX(BOM!$B$2:$B$110,MATCH(92,BOM!$O$2:$O$110,0)))</f>
        <v/>
      </c>
      <c r="C93" s="0" t="str">
        <f aca="false">IF($A93="","",INDEX(BOM!$G$2:$G$110,MATCH(92,BOM!$O$2:$O$110,0)))</f>
        <v/>
      </c>
      <c r="D93" s="9" t="str">
        <f aca="false">IF($A93="","",INDEX(BOM!$H$2:$H$110,MATCH(92,BOM!$O$2:$O$110,0)))</f>
        <v/>
      </c>
      <c r="E93" s="9" t="str">
        <f aca="false">IF($A93="","",INDEX(BOM!$I$2:$I$110,MATCH(92,BOM!$O$2:$O$110,0)))</f>
        <v/>
      </c>
      <c r="F93" s="0" t="str">
        <f aca="false">IF($A93="","",IF(INDEX(BOM!$K$2:$K$110,MATCH(92,BOM!$O$2:$O$110,0))="","",HYPERLINK(INDEX(BOM!$K$2:$K$110,MATCH(92,BOM!$O$2:$O$110,0)),"open on amazon.ca")))</f>
        <v/>
      </c>
      <c r="G93" s="0" t="str">
        <f aca="false">IF($A93="","",HYPERLINK(INDEX(BOM!$L$2:$L$110,MATCH(92,BOM!$O$2:$O$110,0)),"search"))</f>
        <v/>
      </c>
    </row>
    <row r="94" customFormat="false" ht="15" hidden="false" customHeight="false" outlineLevel="0" collapsed="false">
      <c r="A94" s="0" t="str">
        <f aca="false">IF(ISNA(MATCH(93,BOM!$O$2:$O$110,0)),"",93)</f>
        <v/>
      </c>
      <c r="B94" s="0" t="str">
        <f aca="false">IF($A94="","",INDEX(BOM!$B$2:$B$110,MATCH(93,BOM!$O$2:$O$110,0)))</f>
        <v/>
      </c>
      <c r="C94" s="0" t="str">
        <f aca="false">IF($A94="","",INDEX(BOM!$G$2:$G$110,MATCH(93,BOM!$O$2:$O$110,0)))</f>
        <v/>
      </c>
      <c r="D94" s="9" t="str">
        <f aca="false">IF($A94="","",INDEX(BOM!$H$2:$H$110,MATCH(93,BOM!$O$2:$O$110,0)))</f>
        <v/>
      </c>
      <c r="E94" s="9" t="str">
        <f aca="false">IF($A94="","",INDEX(BOM!$I$2:$I$110,MATCH(93,BOM!$O$2:$O$110,0)))</f>
        <v/>
      </c>
      <c r="F94" s="0" t="str">
        <f aca="false">IF($A94="","",IF(INDEX(BOM!$K$2:$K$110,MATCH(93,BOM!$O$2:$O$110,0))="","",HYPERLINK(INDEX(BOM!$K$2:$K$110,MATCH(93,BOM!$O$2:$O$110,0)),"open on amazon.ca")))</f>
        <v/>
      </c>
      <c r="G94" s="0" t="str">
        <f aca="false">IF($A94="","",HYPERLINK(INDEX(BOM!$L$2:$L$110,MATCH(93,BOM!$O$2:$O$110,0)),"search"))</f>
        <v/>
      </c>
    </row>
    <row r="95" customFormat="false" ht="15" hidden="false" customHeight="false" outlineLevel="0" collapsed="false">
      <c r="A95" s="0" t="str">
        <f aca="false">IF(ISNA(MATCH(94,BOM!$O$2:$O$110,0)),"",94)</f>
        <v/>
      </c>
      <c r="B95" s="0" t="str">
        <f aca="false">IF($A95="","",INDEX(BOM!$B$2:$B$110,MATCH(94,BOM!$O$2:$O$110,0)))</f>
        <v/>
      </c>
      <c r="C95" s="0" t="str">
        <f aca="false">IF($A95="","",INDEX(BOM!$G$2:$G$110,MATCH(94,BOM!$O$2:$O$110,0)))</f>
        <v/>
      </c>
      <c r="D95" s="9" t="str">
        <f aca="false">IF($A95="","",INDEX(BOM!$H$2:$H$110,MATCH(94,BOM!$O$2:$O$110,0)))</f>
        <v/>
      </c>
      <c r="E95" s="9" t="str">
        <f aca="false">IF($A95="","",INDEX(BOM!$I$2:$I$110,MATCH(94,BOM!$O$2:$O$110,0)))</f>
        <v/>
      </c>
      <c r="F95" s="0" t="str">
        <f aca="false">IF($A95="","",IF(INDEX(BOM!$K$2:$K$110,MATCH(94,BOM!$O$2:$O$110,0))="","",HYPERLINK(INDEX(BOM!$K$2:$K$110,MATCH(94,BOM!$O$2:$O$110,0)),"open on amazon.ca")))</f>
        <v/>
      </c>
      <c r="G95" s="0" t="str">
        <f aca="false">IF($A95="","",HYPERLINK(INDEX(BOM!$L$2:$L$110,MATCH(94,BOM!$O$2:$O$110,0)),"search"))</f>
        <v/>
      </c>
    </row>
    <row r="96" customFormat="false" ht="15" hidden="false" customHeight="false" outlineLevel="0" collapsed="false">
      <c r="A96" s="0" t="str">
        <f aca="false">IF(ISNA(MATCH(95,BOM!$O$2:$O$110,0)),"",95)</f>
        <v/>
      </c>
      <c r="B96" s="0" t="str">
        <f aca="false">IF($A96="","",INDEX(BOM!$B$2:$B$110,MATCH(95,BOM!$O$2:$O$110,0)))</f>
        <v/>
      </c>
      <c r="C96" s="0" t="str">
        <f aca="false">IF($A96="","",INDEX(BOM!$G$2:$G$110,MATCH(95,BOM!$O$2:$O$110,0)))</f>
        <v/>
      </c>
      <c r="D96" s="9" t="str">
        <f aca="false">IF($A96="","",INDEX(BOM!$H$2:$H$110,MATCH(95,BOM!$O$2:$O$110,0)))</f>
        <v/>
      </c>
      <c r="E96" s="9" t="str">
        <f aca="false">IF($A96="","",INDEX(BOM!$I$2:$I$110,MATCH(95,BOM!$O$2:$O$110,0)))</f>
        <v/>
      </c>
      <c r="F96" s="0" t="str">
        <f aca="false">IF($A96="","",IF(INDEX(BOM!$K$2:$K$110,MATCH(95,BOM!$O$2:$O$110,0))="","",HYPERLINK(INDEX(BOM!$K$2:$K$110,MATCH(95,BOM!$O$2:$O$110,0)),"open on amazon.ca")))</f>
        <v/>
      </c>
      <c r="G96" s="0" t="str">
        <f aca="false">IF($A96="","",HYPERLINK(INDEX(BOM!$L$2:$L$110,MATCH(95,BOM!$O$2:$O$110,0)),"search"))</f>
        <v/>
      </c>
    </row>
    <row r="97" customFormat="false" ht="15" hidden="false" customHeight="false" outlineLevel="0" collapsed="false">
      <c r="A97" s="0" t="str">
        <f aca="false">IF(ISNA(MATCH(96,BOM!$O$2:$O$110,0)),"",96)</f>
        <v/>
      </c>
      <c r="B97" s="0" t="str">
        <f aca="false">IF($A97="","",INDEX(BOM!$B$2:$B$110,MATCH(96,BOM!$O$2:$O$110,0)))</f>
        <v/>
      </c>
      <c r="C97" s="0" t="str">
        <f aca="false">IF($A97="","",INDEX(BOM!$G$2:$G$110,MATCH(96,BOM!$O$2:$O$110,0)))</f>
        <v/>
      </c>
      <c r="D97" s="9" t="str">
        <f aca="false">IF($A97="","",INDEX(BOM!$H$2:$H$110,MATCH(96,BOM!$O$2:$O$110,0)))</f>
        <v/>
      </c>
      <c r="E97" s="9" t="str">
        <f aca="false">IF($A97="","",INDEX(BOM!$I$2:$I$110,MATCH(96,BOM!$O$2:$O$110,0)))</f>
        <v/>
      </c>
      <c r="F97" s="0" t="str">
        <f aca="false">IF($A97="","",IF(INDEX(BOM!$K$2:$K$110,MATCH(96,BOM!$O$2:$O$110,0))="","",HYPERLINK(INDEX(BOM!$K$2:$K$110,MATCH(96,BOM!$O$2:$O$110,0)),"open on amazon.ca")))</f>
        <v/>
      </c>
      <c r="G97" s="0" t="str">
        <f aca="false">IF($A97="","",HYPERLINK(INDEX(BOM!$L$2:$L$110,MATCH(96,BOM!$O$2:$O$110,0)),"search"))</f>
        <v/>
      </c>
    </row>
    <row r="98" customFormat="false" ht="15" hidden="false" customHeight="false" outlineLevel="0" collapsed="false">
      <c r="A98" s="0" t="str">
        <f aca="false">IF(ISNA(MATCH(97,BOM!$O$2:$O$110,0)),"",97)</f>
        <v/>
      </c>
      <c r="B98" s="0" t="str">
        <f aca="false">IF($A98="","",INDEX(BOM!$B$2:$B$110,MATCH(97,BOM!$O$2:$O$110,0)))</f>
        <v/>
      </c>
      <c r="C98" s="0" t="str">
        <f aca="false">IF($A98="","",INDEX(BOM!$G$2:$G$110,MATCH(97,BOM!$O$2:$O$110,0)))</f>
        <v/>
      </c>
      <c r="D98" s="9" t="str">
        <f aca="false">IF($A98="","",INDEX(BOM!$H$2:$H$110,MATCH(97,BOM!$O$2:$O$110,0)))</f>
        <v/>
      </c>
      <c r="E98" s="9" t="str">
        <f aca="false">IF($A98="","",INDEX(BOM!$I$2:$I$110,MATCH(97,BOM!$O$2:$O$110,0)))</f>
        <v/>
      </c>
      <c r="F98" s="0" t="str">
        <f aca="false">IF($A98="","",IF(INDEX(BOM!$K$2:$K$110,MATCH(97,BOM!$O$2:$O$110,0))="","",HYPERLINK(INDEX(BOM!$K$2:$K$110,MATCH(97,BOM!$O$2:$O$110,0)),"open on amazon.ca")))</f>
        <v/>
      </c>
      <c r="G98" s="0" t="str">
        <f aca="false">IF($A98="","",HYPERLINK(INDEX(BOM!$L$2:$L$110,MATCH(97,BOM!$O$2:$O$110,0)),"search"))</f>
        <v/>
      </c>
    </row>
    <row r="99" customFormat="false" ht="15" hidden="false" customHeight="false" outlineLevel="0" collapsed="false">
      <c r="A99" s="0" t="str">
        <f aca="false">IF(ISNA(MATCH(98,BOM!$O$2:$O$110,0)),"",98)</f>
        <v/>
      </c>
      <c r="B99" s="0" t="str">
        <f aca="false">IF($A99="","",INDEX(BOM!$B$2:$B$110,MATCH(98,BOM!$O$2:$O$110,0)))</f>
        <v/>
      </c>
      <c r="C99" s="0" t="str">
        <f aca="false">IF($A99="","",INDEX(BOM!$G$2:$G$110,MATCH(98,BOM!$O$2:$O$110,0)))</f>
        <v/>
      </c>
      <c r="D99" s="9" t="str">
        <f aca="false">IF($A99="","",INDEX(BOM!$H$2:$H$110,MATCH(98,BOM!$O$2:$O$110,0)))</f>
        <v/>
      </c>
      <c r="E99" s="9" t="str">
        <f aca="false">IF($A99="","",INDEX(BOM!$I$2:$I$110,MATCH(98,BOM!$O$2:$O$110,0)))</f>
        <v/>
      </c>
      <c r="F99" s="0" t="str">
        <f aca="false">IF($A99="","",IF(INDEX(BOM!$K$2:$K$110,MATCH(98,BOM!$O$2:$O$110,0))="","",HYPERLINK(INDEX(BOM!$K$2:$K$110,MATCH(98,BOM!$O$2:$O$110,0)),"open on amazon.ca")))</f>
        <v/>
      </c>
      <c r="G99" s="0" t="str">
        <f aca="false">IF($A99="","",HYPERLINK(INDEX(BOM!$L$2:$L$110,MATCH(98,BOM!$O$2:$O$110,0)),"search"))</f>
        <v/>
      </c>
    </row>
    <row r="100" customFormat="false" ht="15" hidden="false" customHeight="false" outlineLevel="0" collapsed="false">
      <c r="A100" s="0" t="str">
        <f aca="false">IF(ISNA(MATCH(99,BOM!$O$2:$O$110,0)),"",99)</f>
        <v/>
      </c>
      <c r="B100" s="0" t="str">
        <f aca="false">IF($A100="","",INDEX(BOM!$B$2:$B$110,MATCH(99,BOM!$O$2:$O$110,0)))</f>
        <v/>
      </c>
      <c r="C100" s="0" t="str">
        <f aca="false">IF($A100="","",INDEX(BOM!$G$2:$G$110,MATCH(99,BOM!$O$2:$O$110,0)))</f>
        <v/>
      </c>
      <c r="D100" s="9" t="str">
        <f aca="false">IF($A100="","",INDEX(BOM!$H$2:$H$110,MATCH(99,BOM!$O$2:$O$110,0)))</f>
        <v/>
      </c>
      <c r="E100" s="9" t="str">
        <f aca="false">IF($A100="","",INDEX(BOM!$I$2:$I$110,MATCH(99,BOM!$O$2:$O$110,0)))</f>
        <v/>
      </c>
      <c r="F100" s="0" t="str">
        <f aca="false">IF($A100="","",IF(INDEX(BOM!$K$2:$K$110,MATCH(99,BOM!$O$2:$O$110,0))="","",HYPERLINK(INDEX(BOM!$K$2:$K$110,MATCH(99,BOM!$O$2:$O$110,0)),"open on amazon.ca")))</f>
        <v/>
      </c>
      <c r="G100" s="0" t="str">
        <f aca="false">IF($A100="","",HYPERLINK(INDEX(BOM!$L$2:$L$110,MATCH(99,BOM!$O$2:$O$110,0)),"search"))</f>
        <v/>
      </c>
    </row>
    <row r="101" customFormat="false" ht="15" hidden="false" customHeight="false" outlineLevel="0" collapsed="false">
      <c r="A101" s="0" t="str">
        <f aca="false">IF(ISNA(MATCH(100,BOM!$O$2:$O$110,0)),"",100)</f>
        <v/>
      </c>
      <c r="B101" s="0" t="str">
        <f aca="false">IF($A101="","",INDEX(BOM!$B$2:$B$110,MATCH(100,BOM!$O$2:$O$110,0)))</f>
        <v/>
      </c>
      <c r="C101" s="0" t="str">
        <f aca="false">IF($A101="","",INDEX(BOM!$G$2:$G$110,MATCH(100,BOM!$O$2:$O$110,0)))</f>
        <v/>
      </c>
      <c r="D101" s="9" t="str">
        <f aca="false">IF($A101="","",INDEX(BOM!$H$2:$H$110,MATCH(100,BOM!$O$2:$O$110,0)))</f>
        <v/>
      </c>
      <c r="E101" s="9" t="str">
        <f aca="false">IF($A101="","",INDEX(BOM!$I$2:$I$110,MATCH(100,BOM!$O$2:$O$110,0)))</f>
        <v/>
      </c>
      <c r="F101" s="0" t="str">
        <f aca="false">IF($A101="","",IF(INDEX(BOM!$K$2:$K$110,MATCH(100,BOM!$O$2:$O$110,0))="","",HYPERLINK(INDEX(BOM!$K$2:$K$110,MATCH(100,BOM!$O$2:$O$110,0)),"open on amazon.ca")))</f>
        <v/>
      </c>
      <c r="G101" s="0" t="str">
        <f aca="false">IF($A101="","",HYPERLINK(INDEX(BOM!$L$2:$L$110,MATCH(100,BOM!$O$2:$O$110,0)),"search"))</f>
        <v/>
      </c>
    </row>
    <row r="102" customFormat="false" ht="15" hidden="false" customHeight="false" outlineLevel="0" collapsed="false">
      <c r="A102" s="0" t="str">
        <f aca="false">IF(ISNA(MATCH(101,BOM!$O$2:$O$110,0)),"",101)</f>
        <v/>
      </c>
      <c r="B102" s="0" t="str">
        <f aca="false">IF($A102="","",INDEX(BOM!$B$2:$B$110,MATCH(101,BOM!$O$2:$O$110,0)))</f>
        <v/>
      </c>
      <c r="C102" s="0" t="str">
        <f aca="false">IF($A102="","",INDEX(BOM!$G$2:$G$110,MATCH(101,BOM!$O$2:$O$110,0)))</f>
        <v/>
      </c>
      <c r="D102" s="9" t="str">
        <f aca="false">IF($A102="","",INDEX(BOM!$H$2:$H$110,MATCH(101,BOM!$O$2:$O$110,0)))</f>
        <v/>
      </c>
      <c r="E102" s="9" t="str">
        <f aca="false">IF($A102="","",INDEX(BOM!$I$2:$I$110,MATCH(101,BOM!$O$2:$O$110,0)))</f>
        <v/>
      </c>
      <c r="F102" s="0" t="str">
        <f aca="false">IF($A102="","",IF(INDEX(BOM!$K$2:$K$110,MATCH(101,BOM!$O$2:$O$110,0))="","",HYPERLINK(INDEX(BOM!$K$2:$K$110,MATCH(101,BOM!$O$2:$O$110,0)),"open on amazon.ca")))</f>
        <v/>
      </c>
      <c r="G102" s="0" t="str">
        <f aca="false">IF($A102="","",HYPERLINK(INDEX(BOM!$L$2:$L$110,MATCH(101,BOM!$O$2:$O$110,0)),"search"))</f>
        <v/>
      </c>
    </row>
    <row r="103" customFormat="false" ht="15" hidden="false" customHeight="false" outlineLevel="0" collapsed="false">
      <c r="A103" s="0" t="str">
        <f aca="false">IF(ISNA(MATCH(102,BOM!$O$2:$O$110,0)),"",102)</f>
        <v/>
      </c>
      <c r="B103" s="0" t="str">
        <f aca="false">IF($A103="","",INDEX(BOM!$B$2:$B$110,MATCH(102,BOM!$O$2:$O$110,0)))</f>
        <v/>
      </c>
      <c r="C103" s="0" t="str">
        <f aca="false">IF($A103="","",INDEX(BOM!$G$2:$G$110,MATCH(102,BOM!$O$2:$O$110,0)))</f>
        <v/>
      </c>
      <c r="D103" s="9" t="str">
        <f aca="false">IF($A103="","",INDEX(BOM!$H$2:$H$110,MATCH(102,BOM!$O$2:$O$110,0)))</f>
        <v/>
      </c>
      <c r="E103" s="9" t="str">
        <f aca="false">IF($A103="","",INDEX(BOM!$I$2:$I$110,MATCH(102,BOM!$O$2:$O$110,0)))</f>
        <v/>
      </c>
      <c r="F103" s="0" t="str">
        <f aca="false">IF($A103="","",IF(INDEX(BOM!$K$2:$K$110,MATCH(102,BOM!$O$2:$O$110,0))="","",HYPERLINK(INDEX(BOM!$K$2:$K$110,MATCH(102,BOM!$O$2:$O$110,0)),"open on amazon.ca")))</f>
        <v/>
      </c>
      <c r="G103" s="0" t="str">
        <f aca="false">IF($A103="","",HYPERLINK(INDEX(BOM!$L$2:$L$110,MATCH(102,BOM!$O$2:$O$110,0)),"search"))</f>
        <v/>
      </c>
    </row>
    <row r="104" customFormat="false" ht="15" hidden="false" customHeight="false" outlineLevel="0" collapsed="false">
      <c r="A104" s="0" t="str">
        <f aca="false">IF(ISNA(MATCH(103,BOM!$O$2:$O$110,0)),"",103)</f>
        <v/>
      </c>
      <c r="B104" s="0" t="str">
        <f aca="false">IF($A104="","",INDEX(BOM!$B$2:$B$110,MATCH(103,BOM!$O$2:$O$110,0)))</f>
        <v/>
      </c>
      <c r="C104" s="0" t="str">
        <f aca="false">IF($A104="","",INDEX(BOM!$G$2:$G$110,MATCH(103,BOM!$O$2:$O$110,0)))</f>
        <v/>
      </c>
      <c r="D104" s="9" t="str">
        <f aca="false">IF($A104="","",INDEX(BOM!$H$2:$H$110,MATCH(103,BOM!$O$2:$O$110,0)))</f>
        <v/>
      </c>
      <c r="E104" s="9" t="str">
        <f aca="false">IF($A104="","",INDEX(BOM!$I$2:$I$110,MATCH(103,BOM!$O$2:$O$110,0)))</f>
        <v/>
      </c>
      <c r="F104" s="0" t="str">
        <f aca="false">IF($A104="","",IF(INDEX(BOM!$K$2:$K$110,MATCH(103,BOM!$O$2:$O$110,0))="","",HYPERLINK(INDEX(BOM!$K$2:$K$110,MATCH(103,BOM!$O$2:$O$110,0)),"open on amazon.ca")))</f>
        <v/>
      </c>
      <c r="G104" s="0" t="str">
        <f aca="false">IF($A104="","",HYPERLINK(INDEX(BOM!$L$2:$L$110,MATCH(103,BOM!$O$2:$O$110,0)),"search"))</f>
        <v/>
      </c>
    </row>
    <row r="105" customFormat="false" ht="15" hidden="false" customHeight="false" outlineLevel="0" collapsed="false">
      <c r="A105" s="0" t="str">
        <f aca="false">IF(ISNA(MATCH(104,BOM!$O$2:$O$110,0)),"",104)</f>
        <v/>
      </c>
      <c r="B105" s="0" t="str">
        <f aca="false">IF($A105="","",INDEX(BOM!$B$2:$B$110,MATCH(104,BOM!$O$2:$O$110,0)))</f>
        <v/>
      </c>
      <c r="C105" s="0" t="str">
        <f aca="false">IF($A105="","",INDEX(BOM!$G$2:$G$110,MATCH(104,BOM!$O$2:$O$110,0)))</f>
        <v/>
      </c>
      <c r="D105" s="9" t="str">
        <f aca="false">IF($A105="","",INDEX(BOM!$H$2:$H$110,MATCH(104,BOM!$O$2:$O$110,0)))</f>
        <v/>
      </c>
      <c r="E105" s="9" t="str">
        <f aca="false">IF($A105="","",INDEX(BOM!$I$2:$I$110,MATCH(104,BOM!$O$2:$O$110,0)))</f>
        <v/>
      </c>
      <c r="F105" s="0" t="str">
        <f aca="false">IF($A105="","",IF(INDEX(BOM!$K$2:$K$110,MATCH(104,BOM!$O$2:$O$110,0))="","",HYPERLINK(INDEX(BOM!$K$2:$K$110,MATCH(104,BOM!$O$2:$O$110,0)),"open on amazon.ca")))</f>
        <v/>
      </c>
      <c r="G105" s="0" t="str">
        <f aca="false">IF($A105="","",HYPERLINK(INDEX(BOM!$L$2:$L$110,MATCH(104,BOM!$O$2:$O$110,0)),"search"))</f>
        <v/>
      </c>
    </row>
    <row r="106" customFormat="false" ht="15" hidden="false" customHeight="false" outlineLevel="0" collapsed="false">
      <c r="A106" s="0" t="str">
        <f aca="false">IF(ISNA(MATCH(105,BOM!$O$2:$O$110,0)),"",105)</f>
        <v/>
      </c>
      <c r="B106" s="0" t="str">
        <f aca="false">IF($A106="","",INDEX(BOM!$B$2:$B$110,MATCH(105,BOM!$O$2:$O$110,0)))</f>
        <v/>
      </c>
      <c r="C106" s="0" t="str">
        <f aca="false">IF($A106="","",INDEX(BOM!$G$2:$G$110,MATCH(105,BOM!$O$2:$O$110,0)))</f>
        <v/>
      </c>
      <c r="D106" s="9" t="str">
        <f aca="false">IF($A106="","",INDEX(BOM!$H$2:$H$110,MATCH(105,BOM!$O$2:$O$110,0)))</f>
        <v/>
      </c>
      <c r="E106" s="9" t="str">
        <f aca="false">IF($A106="","",INDEX(BOM!$I$2:$I$110,MATCH(105,BOM!$O$2:$O$110,0)))</f>
        <v/>
      </c>
      <c r="F106" s="0" t="str">
        <f aca="false">IF($A106="","",IF(INDEX(BOM!$K$2:$K$110,MATCH(105,BOM!$O$2:$O$110,0))="","",HYPERLINK(INDEX(BOM!$K$2:$K$110,MATCH(105,BOM!$O$2:$O$110,0)),"open on amazon.ca")))</f>
        <v/>
      </c>
      <c r="G106" s="0" t="str">
        <f aca="false">IF($A106="","",HYPERLINK(INDEX(BOM!$L$2:$L$110,MATCH(105,BOM!$O$2:$O$110,0)),"search"))</f>
        <v/>
      </c>
    </row>
    <row r="107" customFormat="false" ht="15" hidden="false" customHeight="false" outlineLevel="0" collapsed="false">
      <c r="A107" s="0" t="str">
        <f aca="false">IF(ISNA(MATCH(106,BOM!$O$2:$O$110,0)),"",106)</f>
        <v/>
      </c>
      <c r="B107" s="0" t="str">
        <f aca="false">IF($A107="","",INDEX(BOM!$B$2:$B$110,MATCH(106,BOM!$O$2:$O$110,0)))</f>
        <v/>
      </c>
      <c r="C107" s="0" t="str">
        <f aca="false">IF($A107="","",INDEX(BOM!$G$2:$G$110,MATCH(106,BOM!$O$2:$O$110,0)))</f>
        <v/>
      </c>
      <c r="D107" s="9" t="str">
        <f aca="false">IF($A107="","",INDEX(BOM!$H$2:$H$110,MATCH(106,BOM!$O$2:$O$110,0)))</f>
        <v/>
      </c>
      <c r="E107" s="9" t="str">
        <f aca="false">IF($A107="","",INDEX(BOM!$I$2:$I$110,MATCH(106,BOM!$O$2:$O$110,0)))</f>
        <v/>
      </c>
      <c r="F107" s="0" t="str">
        <f aca="false">IF($A107="","",IF(INDEX(BOM!$K$2:$K$110,MATCH(106,BOM!$O$2:$O$110,0))="","",HYPERLINK(INDEX(BOM!$K$2:$K$110,MATCH(106,BOM!$O$2:$O$110,0)),"open on amazon.ca")))</f>
        <v/>
      </c>
      <c r="G107" s="0" t="str">
        <f aca="false">IF($A107="","",HYPERLINK(INDEX(BOM!$L$2:$L$110,MATCH(106,BOM!$O$2:$O$110,0)),"search"))</f>
        <v/>
      </c>
    </row>
    <row r="108" customFormat="false" ht="15" hidden="false" customHeight="false" outlineLevel="0" collapsed="false">
      <c r="A108" s="0" t="str">
        <f aca="false">IF(ISNA(MATCH(107,BOM!$O$2:$O$110,0)),"",107)</f>
        <v/>
      </c>
      <c r="B108" s="0" t="str">
        <f aca="false">IF($A108="","",INDEX(BOM!$B$2:$B$110,MATCH(107,BOM!$O$2:$O$110,0)))</f>
        <v/>
      </c>
      <c r="C108" s="0" t="str">
        <f aca="false">IF($A108="","",INDEX(BOM!$G$2:$G$110,MATCH(107,BOM!$O$2:$O$110,0)))</f>
        <v/>
      </c>
      <c r="D108" s="9" t="str">
        <f aca="false">IF($A108="","",INDEX(BOM!$H$2:$H$110,MATCH(107,BOM!$O$2:$O$110,0)))</f>
        <v/>
      </c>
      <c r="E108" s="9" t="str">
        <f aca="false">IF($A108="","",INDEX(BOM!$I$2:$I$110,MATCH(107,BOM!$O$2:$O$110,0)))</f>
        <v/>
      </c>
      <c r="F108" s="0" t="str">
        <f aca="false">IF($A108="","",IF(INDEX(BOM!$K$2:$K$110,MATCH(107,BOM!$O$2:$O$110,0))="","",HYPERLINK(INDEX(BOM!$K$2:$K$110,MATCH(107,BOM!$O$2:$O$110,0)),"open on amazon.ca")))</f>
        <v/>
      </c>
      <c r="G108" s="0" t="str">
        <f aca="false">IF($A108="","",HYPERLINK(INDEX(BOM!$L$2:$L$110,MATCH(107,BOM!$O$2:$O$110,0)),"search"))</f>
        <v/>
      </c>
    </row>
    <row r="109" customFormat="false" ht="15" hidden="false" customHeight="false" outlineLevel="0" collapsed="false">
      <c r="A109" s="0" t="str">
        <f aca="false">IF(ISNA(MATCH(108,BOM!$O$2:$O$110,0)),"",108)</f>
        <v/>
      </c>
      <c r="B109" s="0" t="str">
        <f aca="false">IF($A109="","",INDEX(BOM!$B$2:$B$110,MATCH(108,BOM!$O$2:$O$110,0)))</f>
        <v/>
      </c>
      <c r="C109" s="0" t="str">
        <f aca="false">IF($A109="","",INDEX(BOM!$G$2:$G$110,MATCH(108,BOM!$O$2:$O$110,0)))</f>
        <v/>
      </c>
      <c r="D109" s="9" t="str">
        <f aca="false">IF($A109="","",INDEX(BOM!$H$2:$H$110,MATCH(108,BOM!$O$2:$O$110,0)))</f>
        <v/>
      </c>
      <c r="E109" s="9" t="str">
        <f aca="false">IF($A109="","",INDEX(BOM!$I$2:$I$110,MATCH(108,BOM!$O$2:$O$110,0)))</f>
        <v/>
      </c>
      <c r="F109" s="0" t="str">
        <f aca="false">IF($A109="","",IF(INDEX(BOM!$K$2:$K$110,MATCH(108,BOM!$O$2:$O$110,0))="","",HYPERLINK(INDEX(BOM!$K$2:$K$110,MATCH(108,BOM!$O$2:$O$110,0)),"open on amazon.ca")))</f>
        <v/>
      </c>
      <c r="G109" s="0" t="str">
        <f aca="false">IF($A109="","",HYPERLINK(INDEX(BOM!$L$2:$L$110,MATCH(108,BOM!$O$2:$O$110,0)),"search"))</f>
        <v/>
      </c>
    </row>
    <row r="110" customFormat="false" ht="15" hidden="false" customHeight="false" outlineLevel="0" collapsed="false">
      <c r="A110" s="0" t="str">
        <f aca="false">IF(ISNA(MATCH(109,BOM!$O$2:$O$110,0)),"",109)</f>
        <v/>
      </c>
      <c r="B110" s="0" t="str">
        <f aca="false">IF($A110="","",INDEX(BOM!$B$2:$B$110,MATCH(109,BOM!$O$2:$O$110,0)))</f>
        <v/>
      </c>
      <c r="C110" s="0" t="str">
        <f aca="false">IF($A110="","",INDEX(BOM!$G$2:$G$110,MATCH(109,BOM!$O$2:$O$110,0)))</f>
        <v/>
      </c>
      <c r="D110" s="9" t="str">
        <f aca="false">IF($A110="","",INDEX(BOM!$H$2:$H$110,MATCH(109,BOM!$O$2:$O$110,0)))</f>
        <v/>
      </c>
      <c r="E110" s="9" t="str">
        <f aca="false">IF($A110="","",INDEX(BOM!$I$2:$I$110,MATCH(109,BOM!$O$2:$O$110,0)))</f>
        <v/>
      </c>
      <c r="F110" s="0" t="str">
        <f aca="false">IF($A110="","",IF(INDEX(BOM!$K$2:$K$110,MATCH(109,BOM!$O$2:$O$110,0))="","",HYPERLINK(INDEX(BOM!$K$2:$K$110,MATCH(109,BOM!$O$2:$O$110,0)),"open on amazon.ca")))</f>
        <v/>
      </c>
      <c r="G110" s="0" t="str">
        <f aca="false">IF($A110="","",HYPERLINK(INDEX(BOM!$L$2:$L$110,MATCH(109,BOM!$O$2:$O$110,0)),"search"))</f>
        <v/>
      </c>
    </row>
    <row r="111" customFormat="false" ht="15" hidden="false" customHeight="false" outlineLevel="0" collapsed="false">
      <c r="A111" s="0" t="str">
        <f aca="false">IF(ISNA(MATCH(110,BOM!$O$2:$O$110,0)),"",110)</f>
        <v/>
      </c>
      <c r="B111" s="0" t="str">
        <f aca="false">IF($A111="","",INDEX(BOM!$B$2:$B$110,MATCH(110,BOM!$O$2:$O$110,0)))</f>
        <v/>
      </c>
      <c r="C111" s="0" t="str">
        <f aca="false">IF($A111="","",INDEX(BOM!$G$2:$G$110,MATCH(110,BOM!$O$2:$O$110,0)))</f>
        <v/>
      </c>
      <c r="D111" s="9" t="str">
        <f aca="false">IF($A111="","",INDEX(BOM!$H$2:$H$110,MATCH(110,BOM!$O$2:$O$110,0)))</f>
        <v/>
      </c>
      <c r="E111" s="9" t="str">
        <f aca="false">IF($A111="","",INDEX(BOM!$I$2:$I$110,MATCH(110,BOM!$O$2:$O$110,0)))</f>
        <v/>
      </c>
      <c r="F111" s="0" t="str">
        <f aca="false">IF($A111="","",IF(INDEX(BOM!$K$2:$K$110,MATCH(110,BOM!$O$2:$O$110,0))="","",HYPERLINK(INDEX(BOM!$K$2:$K$110,MATCH(110,BOM!$O$2:$O$110,0)),"open on amazon.ca")))</f>
        <v/>
      </c>
      <c r="G111" s="0" t="str">
        <f aca="false">IF($A111="","",HYPERLINK(INDEX(BOM!$L$2:$L$110,MATCH(110,BOM!$O$2:$O$110,0)),"search"))</f>
        <v/>
      </c>
    </row>
    <row r="112" customFormat="false" ht="15" hidden="false" customHeight="false" outlineLevel="0" collapsed="false">
      <c r="A112" s="0" t="str">
        <f aca="false">IF(ISNA(MATCH(111,BOM!$O$2:$O$110,0)),"",111)</f>
        <v/>
      </c>
      <c r="B112" s="0" t="str">
        <f aca="false">IF($A112="","",INDEX(BOM!$B$2:$B$110,MATCH(111,BOM!$O$2:$O$110,0)))</f>
        <v/>
      </c>
      <c r="C112" s="0" t="str">
        <f aca="false">IF($A112="","",INDEX(BOM!$G$2:$G$110,MATCH(111,BOM!$O$2:$O$110,0)))</f>
        <v/>
      </c>
      <c r="D112" s="9" t="str">
        <f aca="false">IF($A112="","",INDEX(BOM!$H$2:$H$110,MATCH(111,BOM!$O$2:$O$110,0)))</f>
        <v/>
      </c>
      <c r="E112" s="9" t="str">
        <f aca="false">IF($A112="","",INDEX(BOM!$I$2:$I$110,MATCH(111,BOM!$O$2:$O$110,0)))</f>
        <v/>
      </c>
      <c r="F112" s="0" t="str">
        <f aca="false">IF($A112="","",IF(INDEX(BOM!$K$2:$K$110,MATCH(111,BOM!$O$2:$O$110,0))="","",HYPERLINK(INDEX(BOM!$K$2:$K$110,MATCH(111,BOM!$O$2:$O$110,0)),"open on amazon.ca")))</f>
        <v/>
      </c>
      <c r="G112" s="0" t="str">
        <f aca="false">IF($A112="","",HYPERLINK(INDEX(BOM!$L$2:$L$110,MATCH(111,BOM!$O$2:$O$110,0)),"search"))</f>
        <v/>
      </c>
    </row>
    <row r="113" customFormat="false" ht="15" hidden="false" customHeight="false" outlineLevel="0" collapsed="false">
      <c r="A113" s="0" t="str">
        <f aca="false">IF(ISNA(MATCH(112,BOM!$O$2:$O$110,0)),"",112)</f>
        <v/>
      </c>
      <c r="B113" s="0" t="str">
        <f aca="false">IF($A113="","",INDEX(BOM!$B$2:$B$110,MATCH(112,BOM!$O$2:$O$110,0)))</f>
        <v/>
      </c>
      <c r="C113" s="0" t="str">
        <f aca="false">IF($A113="","",INDEX(BOM!$G$2:$G$110,MATCH(112,BOM!$O$2:$O$110,0)))</f>
        <v/>
      </c>
      <c r="D113" s="9" t="str">
        <f aca="false">IF($A113="","",INDEX(BOM!$H$2:$H$110,MATCH(112,BOM!$O$2:$O$110,0)))</f>
        <v/>
      </c>
      <c r="E113" s="9" t="str">
        <f aca="false">IF($A113="","",INDEX(BOM!$I$2:$I$110,MATCH(112,BOM!$O$2:$O$110,0)))</f>
        <v/>
      </c>
      <c r="F113" s="0" t="str">
        <f aca="false">IF($A113="","",IF(INDEX(BOM!$K$2:$K$110,MATCH(112,BOM!$O$2:$O$110,0))="","",HYPERLINK(INDEX(BOM!$K$2:$K$110,MATCH(112,BOM!$O$2:$O$110,0)),"open on amazon.ca")))</f>
        <v/>
      </c>
      <c r="G113" s="0" t="str">
        <f aca="false">IF($A113="","",HYPERLINK(INDEX(BOM!$L$2:$L$110,MATCH(112,BOM!$O$2:$O$110,0)),"search"))</f>
        <v/>
      </c>
    </row>
    <row r="114" customFormat="false" ht="15" hidden="false" customHeight="false" outlineLevel="0" collapsed="false">
      <c r="A114" s="0" t="str">
        <f aca="false">IF(ISNA(MATCH(113,BOM!$O$2:$O$110,0)),"",113)</f>
        <v/>
      </c>
      <c r="B114" s="0" t="str">
        <f aca="false">IF($A114="","",INDEX(BOM!$B$2:$B$110,MATCH(113,BOM!$O$2:$O$110,0)))</f>
        <v/>
      </c>
      <c r="C114" s="0" t="str">
        <f aca="false">IF($A114="","",INDEX(BOM!$G$2:$G$110,MATCH(113,BOM!$O$2:$O$110,0)))</f>
        <v/>
      </c>
      <c r="D114" s="9" t="str">
        <f aca="false">IF($A114="","",INDEX(BOM!$H$2:$H$110,MATCH(113,BOM!$O$2:$O$110,0)))</f>
        <v/>
      </c>
      <c r="E114" s="9" t="str">
        <f aca="false">IF($A114="","",INDEX(BOM!$I$2:$I$110,MATCH(113,BOM!$O$2:$O$110,0)))</f>
        <v/>
      </c>
      <c r="F114" s="0" t="str">
        <f aca="false">IF($A114="","",IF(INDEX(BOM!$K$2:$K$110,MATCH(113,BOM!$O$2:$O$110,0))="","",HYPERLINK(INDEX(BOM!$K$2:$K$110,MATCH(113,BOM!$O$2:$O$110,0)),"open on amazon.ca")))</f>
        <v/>
      </c>
      <c r="G114" s="0" t="str">
        <f aca="false">IF($A114="","",HYPERLINK(INDEX(BOM!$L$2:$L$110,MATCH(113,BOM!$O$2:$O$110,0)),"search"))</f>
        <v/>
      </c>
    </row>
    <row r="115" customFormat="false" ht="15" hidden="false" customHeight="false" outlineLevel="0" collapsed="false">
      <c r="A115" s="0" t="str">
        <f aca="false">IF(ISNA(MATCH(114,BOM!$O$2:$O$110,0)),"",114)</f>
        <v/>
      </c>
      <c r="B115" s="0" t="str">
        <f aca="false">IF($A115="","",INDEX(BOM!$B$2:$B$110,MATCH(114,BOM!$O$2:$O$110,0)))</f>
        <v/>
      </c>
      <c r="C115" s="0" t="str">
        <f aca="false">IF($A115="","",INDEX(BOM!$G$2:$G$110,MATCH(114,BOM!$O$2:$O$110,0)))</f>
        <v/>
      </c>
      <c r="D115" s="9" t="str">
        <f aca="false">IF($A115="","",INDEX(BOM!$H$2:$H$110,MATCH(114,BOM!$O$2:$O$110,0)))</f>
        <v/>
      </c>
      <c r="E115" s="9" t="str">
        <f aca="false">IF($A115="","",INDEX(BOM!$I$2:$I$110,MATCH(114,BOM!$O$2:$O$110,0)))</f>
        <v/>
      </c>
      <c r="F115" s="0" t="str">
        <f aca="false">IF($A115="","",IF(INDEX(BOM!$K$2:$K$110,MATCH(114,BOM!$O$2:$O$110,0))="","",HYPERLINK(INDEX(BOM!$K$2:$K$110,MATCH(114,BOM!$O$2:$O$110,0)),"open on amazon.ca")))</f>
        <v/>
      </c>
      <c r="G115" s="0" t="str">
        <f aca="false">IF($A115="","",HYPERLINK(INDEX(BOM!$L$2:$L$110,MATCH(114,BOM!$O$2:$O$110,0)),"search"))</f>
        <v/>
      </c>
    </row>
    <row r="116" customFormat="false" ht="15" hidden="false" customHeight="false" outlineLevel="0" collapsed="false">
      <c r="A116" s="0" t="str">
        <f aca="false">IF(ISNA(MATCH(115,BOM!$O$2:$O$110,0)),"",115)</f>
        <v/>
      </c>
      <c r="B116" s="0" t="str">
        <f aca="false">IF($A116="","",INDEX(BOM!$B$2:$B$110,MATCH(115,BOM!$O$2:$O$110,0)))</f>
        <v/>
      </c>
      <c r="C116" s="0" t="str">
        <f aca="false">IF($A116="","",INDEX(BOM!$G$2:$G$110,MATCH(115,BOM!$O$2:$O$110,0)))</f>
        <v/>
      </c>
      <c r="D116" s="9" t="str">
        <f aca="false">IF($A116="","",INDEX(BOM!$H$2:$H$110,MATCH(115,BOM!$O$2:$O$110,0)))</f>
        <v/>
      </c>
      <c r="E116" s="9" t="str">
        <f aca="false">IF($A116="","",INDEX(BOM!$I$2:$I$110,MATCH(115,BOM!$O$2:$O$110,0)))</f>
        <v/>
      </c>
      <c r="F116" s="0" t="str">
        <f aca="false">IF($A116="","",IF(INDEX(BOM!$K$2:$K$110,MATCH(115,BOM!$O$2:$O$110,0))="","",HYPERLINK(INDEX(BOM!$K$2:$K$110,MATCH(115,BOM!$O$2:$O$110,0)),"open on amazon.ca")))</f>
        <v/>
      </c>
      <c r="G116" s="0" t="str">
        <f aca="false">IF($A116="","",HYPERLINK(INDEX(BOM!$L$2:$L$110,MATCH(115,BOM!$O$2:$O$110,0)),"search"))</f>
        <v/>
      </c>
    </row>
    <row r="117" customFormat="false" ht="15" hidden="false" customHeight="false" outlineLevel="0" collapsed="false">
      <c r="A117" s="0" t="str">
        <f aca="false">IF(ISNA(MATCH(116,BOM!$O$2:$O$110,0)),"",116)</f>
        <v/>
      </c>
      <c r="B117" s="0" t="str">
        <f aca="false">IF($A117="","",INDEX(BOM!$B$2:$B$110,MATCH(116,BOM!$O$2:$O$110,0)))</f>
        <v/>
      </c>
      <c r="C117" s="0" t="str">
        <f aca="false">IF($A117="","",INDEX(BOM!$G$2:$G$110,MATCH(116,BOM!$O$2:$O$110,0)))</f>
        <v/>
      </c>
      <c r="D117" s="9" t="str">
        <f aca="false">IF($A117="","",INDEX(BOM!$H$2:$H$110,MATCH(116,BOM!$O$2:$O$110,0)))</f>
        <v/>
      </c>
      <c r="E117" s="9" t="str">
        <f aca="false">IF($A117="","",INDEX(BOM!$I$2:$I$110,MATCH(116,BOM!$O$2:$O$110,0)))</f>
        <v/>
      </c>
      <c r="F117" s="0" t="str">
        <f aca="false">IF($A117="","",IF(INDEX(BOM!$K$2:$K$110,MATCH(116,BOM!$O$2:$O$110,0))="","",HYPERLINK(INDEX(BOM!$K$2:$K$110,MATCH(116,BOM!$O$2:$O$110,0)),"open on amazon.ca")))</f>
        <v/>
      </c>
      <c r="G117" s="0" t="str">
        <f aca="false">IF($A117="","",HYPERLINK(INDEX(BOM!$L$2:$L$110,MATCH(116,BOM!$O$2:$O$110,0)),"search"))</f>
        <v/>
      </c>
    </row>
    <row r="118" customFormat="false" ht="15" hidden="false" customHeight="false" outlineLevel="0" collapsed="false">
      <c r="A118" s="0" t="str">
        <f aca="false">IF(ISNA(MATCH(117,BOM!$O$2:$O$110,0)),"",117)</f>
        <v/>
      </c>
      <c r="B118" s="0" t="str">
        <f aca="false">IF($A118="","",INDEX(BOM!$B$2:$B$110,MATCH(117,BOM!$O$2:$O$110,0)))</f>
        <v/>
      </c>
      <c r="C118" s="0" t="str">
        <f aca="false">IF($A118="","",INDEX(BOM!$G$2:$G$110,MATCH(117,BOM!$O$2:$O$110,0)))</f>
        <v/>
      </c>
      <c r="D118" s="9" t="str">
        <f aca="false">IF($A118="","",INDEX(BOM!$H$2:$H$110,MATCH(117,BOM!$O$2:$O$110,0)))</f>
        <v/>
      </c>
      <c r="E118" s="9" t="str">
        <f aca="false">IF($A118="","",INDEX(BOM!$I$2:$I$110,MATCH(117,BOM!$O$2:$O$110,0)))</f>
        <v/>
      </c>
      <c r="F118" s="0" t="str">
        <f aca="false">IF($A118="","",IF(INDEX(BOM!$K$2:$K$110,MATCH(117,BOM!$O$2:$O$110,0))="","",HYPERLINK(INDEX(BOM!$K$2:$K$110,MATCH(117,BOM!$O$2:$O$110,0)),"open on amazon.ca")))</f>
        <v/>
      </c>
      <c r="G118" s="0" t="str">
        <f aca="false">IF($A118="","",HYPERLINK(INDEX(BOM!$L$2:$L$110,MATCH(117,BOM!$O$2:$O$110,0)),"search"))</f>
        <v/>
      </c>
    </row>
    <row r="119" customFormat="false" ht="15" hidden="false" customHeight="false" outlineLevel="0" collapsed="false">
      <c r="A119" s="0" t="str">
        <f aca="false">IF(ISNA(MATCH(118,BOM!$O$2:$O$110,0)),"",118)</f>
        <v/>
      </c>
      <c r="B119" s="0" t="str">
        <f aca="false">IF($A119="","",INDEX(BOM!$B$2:$B$110,MATCH(118,BOM!$O$2:$O$110,0)))</f>
        <v/>
      </c>
      <c r="C119" s="0" t="str">
        <f aca="false">IF($A119="","",INDEX(BOM!$G$2:$G$110,MATCH(118,BOM!$O$2:$O$110,0)))</f>
        <v/>
      </c>
      <c r="D119" s="9" t="str">
        <f aca="false">IF($A119="","",INDEX(BOM!$H$2:$H$110,MATCH(118,BOM!$O$2:$O$110,0)))</f>
        <v/>
      </c>
      <c r="E119" s="9" t="str">
        <f aca="false">IF($A119="","",INDEX(BOM!$I$2:$I$110,MATCH(118,BOM!$O$2:$O$110,0)))</f>
        <v/>
      </c>
      <c r="F119" s="0" t="str">
        <f aca="false">IF($A119="","",IF(INDEX(BOM!$K$2:$K$110,MATCH(118,BOM!$O$2:$O$110,0))="","",HYPERLINK(INDEX(BOM!$K$2:$K$110,MATCH(118,BOM!$O$2:$O$110,0)),"open on amazon.ca")))</f>
        <v/>
      </c>
      <c r="G119" s="0" t="str">
        <f aca="false">IF($A119="","",HYPERLINK(INDEX(BOM!$L$2:$L$110,MATCH(118,BOM!$O$2:$O$110,0)),"search"))</f>
        <v/>
      </c>
    </row>
    <row r="120" customFormat="false" ht="15" hidden="false" customHeight="false" outlineLevel="0" collapsed="false">
      <c r="A120" s="0" t="str">
        <f aca="false">IF(ISNA(MATCH(119,BOM!$O$2:$O$110,0)),"",119)</f>
        <v/>
      </c>
      <c r="B120" s="0" t="str">
        <f aca="false">IF($A120="","",INDEX(BOM!$B$2:$B$110,MATCH(119,BOM!$O$2:$O$110,0)))</f>
        <v/>
      </c>
      <c r="C120" s="0" t="str">
        <f aca="false">IF($A120="","",INDEX(BOM!$G$2:$G$110,MATCH(119,BOM!$O$2:$O$110,0)))</f>
        <v/>
      </c>
      <c r="D120" s="9" t="str">
        <f aca="false">IF($A120="","",INDEX(BOM!$H$2:$H$110,MATCH(119,BOM!$O$2:$O$110,0)))</f>
        <v/>
      </c>
      <c r="E120" s="9" t="str">
        <f aca="false">IF($A120="","",INDEX(BOM!$I$2:$I$110,MATCH(119,BOM!$O$2:$O$110,0)))</f>
        <v/>
      </c>
      <c r="F120" s="0" t="str">
        <f aca="false">IF($A120="","",IF(INDEX(BOM!$K$2:$K$110,MATCH(119,BOM!$O$2:$O$110,0))="","",HYPERLINK(INDEX(BOM!$K$2:$K$110,MATCH(119,BOM!$O$2:$O$110,0)),"open on amazon.ca")))</f>
        <v/>
      </c>
      <c r="G120" s="0" t="str">
        <f aca="false">IF($A120="","",HYPERLINK(INDEX(BOM!$L$2:$L$110,MATCH(119,BOM!$O$2:$O$110,0)),"search"))</f>
        <v/>
      </c>
    </row>
    <row r="121" customFormat="false" ht="15" hidden="false" customHeight="false" outlineLevel="0" collapsed="false">
      <c r="A121" s="0" t="str">
        <f aca="false">IF(ISNA(MATCH(120,BOM!$O$2:$O$110,0)),"",120)</f>
        <v/>
      </c>
      <c r="B121" s="0" t="str">
        <f aca="false">IF($A121="","",INDEX(BOM!$B$2:$B$110,MATCH(120,BOM!$O$2:$O$110,0)))</f>
        <v/>
      </c>
      <c r="C121" s="0" t="str">
        <f aca="false">IF($A121="","",INDEX(BOM!$G$2:$G$110,MATCH(120,BOM!$O$2:$O$110,0)))</f>
        <v/>
      </c>
      <c r="D121" s="9" t="str">
        <f aca="false">IF($A121="","",INDEX(BOM!$H$2:$H$110,MATCH(120,BOM!$O$2:$O$110,0)))</f>
        <v/>
      </c>
      <c r="E121" s="9" t="str">
        <f aca="false">IF($A121="","",INDEX(BOM!$I$2:$I$110,MATCH(120,BOM!$O$2:$O$110,0)))</f>
        <v/>
      </c>
      <c r="F121" s="0" t="str">
        <f aca="false">IF($A121="","",IF(INDEX(BOM!$K$2:$K$110,MATCH(120,BOM!$O$2:$O$110,0))="","",HYPERLINK(INDEX(BOM!$K$2:$K$110,MATCH(120,BOM!$O$2:$O$110,0)),"open on amazon.ca")))</f>
        <v/>
      </c>
      <c r="G121" s="0" t="str">
        <f aca="false">IF($A121="","",HYPERLINK(INDEX(BOM!$L$2:$L$110,MATCH(120,BOM!$O$2:$O$110,0)),"search"))</f>
        <v/>
      </c>
    </row>
    <row r="123" customFormat="false" ht="15" hidden="false" customHeight="false" outlineLevel="0" collapsed="false">
      <c r="B123" s="10" t="s">
        <v>559</v>
      </c>
      <c r="E123" s="9" t="n">
        <f aca="false">SUM(E2:E121)</f>
        <v>2168.73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0"/>
  </cols>
  <sheetData>
    <row r="1" customFormat="false" ht="16.15" hidden="false" customHeight="false" outlineLevel="0" collapsed="false">
      <c r="A1" s="12" t="s">
        <v>560</v>
      </c>
    </row>
    <row r="2" customFormat="false" ht="28.35" hidden="false" customHeight="false" outlineLevel="0" collapsed="false">
      <c r="A2" s="3" t="s">
        <v>561</v>
      </c>
    </row>
    <row r="3" customFormat="false" ht="41.75" hidden="false" customHeight="false" outlineLevel="0" collapsed="false">
      <c r="A3" s="3" t="s">
        <v>562</v>
      </c>
    </row>
    <row r="4" customFormat="false" ht="28.35" hidden="false" customHeight="false" outlineLevel="0" collapsed="false">
      <c r="A4" s="3" t="s">
        <v>563</v>
      </c>
    </row>
    <row r="5" customFormat="false" ht="41.75" hidden="false" customHeight="false" outlineLevel="0" collapsed="false">
      <c r="A5" s="3" t="s">
        <v>564</v>
      </c>
    </row>
    <row r="6" customFormat="false" ht="55.2" hidden="false" customHeight="false" outlineLevel="0" collapsed="false">
      <c r="A6" s="3" t="s">
        <v>565</v>
      </c>
    </row>
    <row r="7" customFormat="false" ht="28.35" hidden="false" customHeight="false" outlineLevel="0" collapsed="false">
      <c r="A7" s="3" t="s">
        <v>566</v>
      </c>
    </row>
    <row r="8" customFormat="false" ht="15" hidden="false" customHeight="false" outlineLevel="0" collapsed="false">
      <c r="A8" s="3" t="s">
        <v>567</v>
      </c>
    </row>
    <row r="9" customFormat="false" ht="15" hidden="false" customHeight="false" outlineLevel="0" collapsed="false">
      <c r="A9" s="3" t="s">
        <v>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2026-10-11T02:14:54Z</dcterms:created>
  <dc:creator>openpyxl</dc:creator>
  <dc:description/>
  <dc:language>en-US</dc:language>
  <cp:lastModifiedBy/>
  <dcterms:modified xsi:type="dcterms:W3CDTF">2026-10-11T02:14:54Z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